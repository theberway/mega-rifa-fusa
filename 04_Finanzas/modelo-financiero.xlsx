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IEZA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SUPUESTOS" sheetId="3" state="visible" r:id="rId3"/>
    <sheet xmlns:r="http://schemas.openxmlformats.org/officeDocument/2006/relationships" name="ESCENARIOS" sheetId="4" state="visible" r:id="rId4"/>
    <sheet xmlns:r="http://schemas.openxmlformats.org/officeDocument/2006/relationships" name="REGLA-PREMIO" sheetId="5" state="visible" r:id="rId5"/>
    <sheet xmlns:r="http://schemas.openxmlformats.org/officeDocument/2006/relationships" name="CASOS-PRUEBA" sheetId="6" state="visible" r:id="rId6"/>
    <sheet xmlns:r="http://schemas.openxmlformats.org/officeDocument/2006/relationships" name="CAJAS" sheetId="7" state="visible" r:id="rId7"/>
    <sheet xmlns:r="http://schemas.openxmlformats.org/officeDocument/2006/relationships" name="VENDEDORES" sheetId="8" state="visible" r:id="rId8"/>
    <sheet xmlns:r="http://schemas.openxmlformats.org/officeDocument/2006/relationships" name="PUNTOS-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COP&quot;"/>
    <numFmt numFmtId="165" formatCode="#,##0.00 &quot;NZD&quot;"/>
    <numFmt numFmtId="166" formatCode="0.0%"/>
    <numFmt numFmtId="167" formatCode="0.0"/>
    <numFmt numFmtId="168" formatCode="&quot;$&quot;#,##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i val="1"/>
      <color rgb="00555555"/>
      <sz val="9"/>
    </font>
    <font>
      <b val="1"/>
    </font>
    <font>
      <b val="1"/>
      <color rgb="00FFFFFF"/>
    </font>
    <font>
      <color rgb="00555555"/>
    </font>
    <font>
      <b val="1"/>
      <color rgb="00C1121F"/>
      <sz val="20"/>
    </font>
    <font>
      <i val="1"/>
      <color rgb="00777777"/>
      <sz val="10"/>
    </font>
    <font>
      <b val="1"/>
      <sz val="13"/>
    </font>
    <font>
      <b val="1"/>
      <sz val="22"/>
    </font>
    <font>
      <b val="1"/>
      <color rgb="000A3D62"/>
      <sz val="20"/>
    </font>
    <font>
      <b val="1"/>
      <color rgb="001E6F50"/>
      <sz val="20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5B2A86"/>
      </patternFill>
    </fill>
    <fill>
      <patternFill patternType="solid">
        <fgColor rgb="000B6E4F"/>
      </patternFill>
    </fill>
    <fill>
      <patternFill patternType="solid">
        <fgColor rgb="00FCD116"/>
      </patternFill>
    </fill>
    <fill>
      <patternFill patternType="solid">
        <fgColor rgb="00FFF4D6"/>
      </patternFill>
    </fill>
    <fill>
      <patternFill patternType="solid">
        <fgColor rgb="00F2B70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1" pivotButton="0" quotePrefix="0" xfId="0"/>
    <xf numFmtId="0" fontId="4" fillId="0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164" fontId="0" fillId="5" borderId="1" pivotButton="0" quotePrefix="0" xfId="0"/>
    <xf numFmtId="166" fontId="0" fillId="4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vertical="top" wrapText="1"/>
    </xf>
    <xf numFmtId="166" fontId="0" fillId="5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3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3" fontId="0" fillId="5" borderId="1" pivotButton="0" quotePrefix="0" xfId="0"/>
    <xf numFmtId="164" fontId="4" fillId="5" borderId="1" pivotButton="0" quotePrefix="0" xfId="0"/>
    <xf numFmtId="0" fontId="0" fillId="5" borderId="1" pivotButton="0" quotePrefix="0" xfId="0"/>
    <xf numFmtId="0" fontId="2" fillId="3" borderId="0" pivotButton="0" quotePrefix="0" xfId="0"/>
    <xf numFmtId="1" fontId="0" fillId="5" borderId="1" pivotButton="0" quotePrefix="0" xfId="0"/>
    <xf numFmtId="167" fontId="0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164" fontId="0" fillId="4" borderId="0" pivotButton="0" quotePrefix="0" xfId="0"/>
    <xf numFmtId="0" fontId="5" fillId="3" borderId="0" applyAlignment="1" pivotButton="0" quotePrefix="0" xfId="0">
      <alignment vertical="center" wrapText="1"/>
    </xf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3" fontId="0" fillId="5" borderId="0" pivotButton="0" quotePrefix="0" xfId="0"/>
    <xf numFmtId="9" fontId="0" fillId="5" borderId="0" pivotButton="0" quotePrefix="0" xfId="0"/>
    <xf numFmtId="164" fontId="0" fillId="5" borderId="0" pivotButton="0" quotePrefix="0" xfId="0"/>
    <xf numFmtId="164" fontId="4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10" fillId="6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A0A6"/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4" customWidth="1" min="4" max="4"/>
  </cols>
  <sheetData>
    <row r="2">
      <c r="B2" s="49" t="inlineStr">
        <is>
          <t>MODELO FINANCIERO · EMPIEZA AQUÍ</t>
        </is>
      </c>
    </row>
    <row r="3">
      <c r="B3" s="50" t="inlineStr">
        <is>
          <t>Escribe cuántos números llevas PAGADOS y mira las 3 cifras que importan.</t>
        </is>
      </c>
    </row>
    <row r="5" ht="30" customHeight="1">
      <c r="B5" s="51" t="inlineStr">
        <is>
          <t>Números PAGADOS hoy</t>
        </is>
      </c>
      <c r="C5" s="52" t="n">
        <v>0</v>
      </c>
      <c r="D5" s="50" t="inlineStr">
        <is>
          <t>↑ la única celda amarilla: escribe aquí</t>
        </is>
      </c>
    </row>
    <row r="8" ht="28" customHeight="1">
      <c r="B8" s="51" t="inlineStr">
        <is>
          <t>Neto en el CASO MALO</t>
        </is>
      </c>
      <c r="C8" s="53">
        <f>$C$5*SUPUESTOS!$B$5-SUPUESTOS!$B$9-SUPUESTOS!$B$12-SUPUESTOS!$B$13</f>
        <v/>
      </c>
      <c r="D8" s="50" t="inlineStr">
        <is>
          <t>número vendido, sin tiendas ni NZ: lo más bajo que puede dar</t>
        </is>
      </c>
    </row>
    <row r="9"/>
    <row r="10" ht="28" customHeight="1">
      <c r="B10" s="51" t="inlineStr">
        <is>
          <t>Faltan para el piso (3M)</t>
        </is>
      </c>
      <c r="C10" s="54">
        <f>MAX(0,ROUNDUP((SUPUESTOS!$B$25+SUPUESTOS!$B$9+SUPUESTOS!$B$12+SUPUESTOS!$B$13)/SUPUESTOS!$B$5,0)-$C$5)</f>
        <v/>
      </c>
      <c r="D10" s="50" t="inlineStr">
        <is>
          <t>números PAGADOS que aún faltan para asegurar la moto</t>
        </is>
      </c>
    </row>
    <row r="11"/>
    <row r="12" ht="28" customHeight="1">
      <c r="B12" s="51" t="inlineStr">
        <is>
          <t>¿Ya llegó al piso?</t>
        </is>
      </c>
      <c r="C12" s="55">
        <f>IF($C$8&gt;=SUPUESTOS!$B$25,"SÍ, la moto está asegurada","todavía no")</f>
        <v/>
      </c>
      <c r="D12" s="50" t="inlineStr">
        <is>
          <t>el caso malo contra el piso de COP 3.000.000</t>
        </is>
      </c>
    </row>
    <row r="15">
      <c r="B15" s="50" t="inlineStr">
        <is>
          <t>Para cambiar precios, premios o la mezcla: SUPUESTOS (celdas amarillas). Lo demás se calcula.</t>
        </is>
      </c>
    </row>
    <row r="16">
      <c r="B16" s="50" t="inlineStr">
        <is>
          <t>Para ver el neto a distintos niveles de venta: ESCENARIOS. Los domingos: PUNTOS-CONTROL.</t>
        </is>
      </c>
    </row>
  </sheetData>
  <mergeCells count="2">
    <mergeCell ref="B15:D1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A0A6"/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26" customHeight="1">
      <c r="B2" s="1" t="inlineStr">
        <is>
          <t>MODELO FINANCIERO - MEGA RIFA FUSA</t>
        </is>
      </c>
    </row>
    <row r="3">
      <c r="B3" s="2" t="inlineStr"/>
    </row>
    <row r="4">
      <c r="B4" s="3" t="inlineStr">
        <is>
          <t>Para qué sirve</t>
        </is>
      </c>
    </row>
    <row r="5">
      <c r="B5" s="2" t="inlineStr">
        <is>
          <t>Saber, en cualquier momento, cuántos números faltan para llegar al piso de COP 3.000.000 netos, y qué pasa con el neto si cambia la mezcla de ventas (directas, tiendas, Nueva Zelanda).</t>
        </is>
      </c>
    </row>
    <row r="6">
      <c r="B6" s="2" t="inlineStr"/>
    </row>
    <row r="7">
      <c r="B7" s="3" t="inlineStr">
        <is>
          <t>Cómo se usa</t>
        </is>
      </c>
    </row>
    <row r="8">
      <c r="B8" s="56" t="inlineStr">
        <is>
          <t>0. La hoja EMPIEZA (la primera): escribe los números PAGADOS y te da el neto del caso malo y cuántos faltan para el piso. Panel rápido.</t>
        </is>
      </c>
    </row>
    <row r="9">
      <c r="B9" s="57" t="inlineStr">
        <is>
          <t>1. En la hoja SUPUESTOS, cambie solo las celdas con fondo AMARILLO. Todo lo demás se calcula solo.</t>
        </is>
      </c>
    </row>
    <row r="10">
      <c r="B10" s="57" t="inlineStr">
        <is>
          <t>2. La hoja ESCENARIOS muestra el neto para distintos totales de números vendidos, con la mezcla de SUPUESTOS.</t>
        </is>
      </c>
    </row>
    <row r="11">
      <c r="B11" s="57" t="inlineStr">
        <is>
          <t>3. La hoja CASOS-PRUEBA verifica que el modelo da los mismos números del plan maestro. Si alguna fila dice FALLA, el modelo quedó mal y no se puede confiar en él.</t>
        </is>
      </c>
    </row>
    <row r="12">
      <c r="B12" s="57" t="inlineStr">
        <is>
          <t>4. La hoja CAJAS lleva el control de la plata real: reserva del premio, efectivo, Nu y NZ.</t>
        </is>
      </c>
    </row>
    <row r="13">
      <c r="B13" s="57" t="inlineStr">
        <is>
          <t>5. La hoja VENDEDORES lleva los compradores distintos de cada vendedor (el umbral de 25 que da derecho al premio de COP 100.000).</t>
        </is>
      </c>
    </row>
    <row r="14">
      <c r="B14" s="57" t="inlineStr">
        <is>
          <t>6. La hoja PUNTOS-CONTROL compara lo vendido contra la meta de cada domingo.</t>
        </is>
      </c>
    </row>
    <row r="15">
      <c r="B15" s="58" t="inlineStr">
        <is>
          <t>7. La hoja REGLA-PREMIO compara qué pasa si el número de la Boyacá está vendido (se pagan los 2M) o no (premio de consolación), y el neto esperado (decisión 37).</t>
        </is>
      </c>
    </row>
    <row r="16">
      <c r="B16" s="57" t="inlineStr">
        <is>
          <t>Las dos reglas del modelo</t>
        </is>
      </c>
    </row>
    <row r="17">
      <c r="B17" s="57" t="inlineStr">
        <is>
          <t>- Un número cuenta como vendido SOLO si está PAGADO (la plata apareció en la app). Los apartados no cuentan.</t>
        </is>
      </c>
    </row>
    <row r="18">
      <c r="B18" s="57" t="inlineStr">
        <is>
          <t>- Si el número de la Boyacá está vendido, el premio de COP 2.000.000 se paga completo aunque el neto quede por debajo del piso. Por eso la reserva se aparta primero y no se toca. Si no se vendió, va el premio de consolación (decisión 37).</t>
        </is>
      </c>
    </row>
    <row r="19">
      <c r="B19" s="58" t="n"/>
    </row>
    <row r="20">
      <c r="B20" s="57" t="inlineStr">
        <is>
          <t>Qué NO hace este modelo</t>
        </is>
      </c>
    </row>
    <row r="21">
      <c r="B21" s="57" t="inlineStr">
        <is>
          <t>No estima cuántos números se van a vender. Eso depende del alcance y de los refuerzos, y ninguna fuente de la investigación da datos de conversión para rifas informales colombianas. El modelo solo traduce números vendidos a pesos netos.</t>
        </is>
      </c>
    </row>
    <row r="22">
      <c r="B22" s="58" t="n"/>
    </row>
    <row r="23">
      <c r="B23" s="57" t="inlineStr">
        <is>
          <t>Fuente</t>
        </is>
      </c>
    </row>
    <row r="24">
      <c r="B24" s="57" t="inlineStr">
        <is>
          <t>02_Decisiones/plan-maestro.md (plan aprobado el 2026-10-02) y 02_Decisiones/registro-de-decisiones.md.</t>
        </is>
      </c>
    </row>
    <row r="25">
      <c r="B25" s="57" t="inlineStr">
        <is>
          <t>Creado en la Sesión 1, el 2026-10-02.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B705"/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62" customWidth="1" min="4" max="4"/>
  </cols>
  <sheetData>
    <row r="1" ht="24" customHeight="1">
      <c r="A1" s="1" t="inlineStr">
        <is>
          <t>SUPUESTOS - cambie solo las celdas amarillas</t>
        </is>
      </c>
    </row>
    <row r="3">
      <c r="A3" s="5" t="inlineStr">
        <is>
          <t>Parámetro</t>
        </is>
      </c>
      <c r="B3" s="5" t="inlineStr">
        <is>
          <t>Valor</t>
        </is>
      </c>
      <c r="C3" s="5" t="inlineStr">
        <is>
          <t>Unidad</t>
        </is>
      </c>
      <c r="D3" s="5" t="inlineStr">
        <is>
          <t>Nota</t>
        </is>
      </c>
    </row>
    <row r="4">
      <c r="A4" s="6" t="inlineStr">
        <is>
          <t>Total de números del tablero</t>
        </is>
      </c>
      <c r="B4" s="7" t="n">
        <v>1000</v>
      </c>
      <c r="C4" s="8" t="inlineStr">
        <is>
          <t>números</t>
        </is>
      </c>
      <c r="D4" s="9" t="inlineStr">
        <is>
          <t>000-999. Decisión fija.</t>
        </is>
      </c>
    </row>
    <row r="5">
      <c r="A5" s="6" t="inlineStr">
        <is>
          <t>Precio por número (Colombia)</t>
        </is>
      </c>
      <c r="B5" s="10" t="n">
        <v>6000</v>
      </c>
      <c r="C5" s="8" t="inlineStr">
        <is>
          <t>COP</t>
        </is>
      </c>
      <c r="D5" s="9" t="inlineStr">
        <is>
          <t>Decisión 6: COP 6.000 fijo, sin combo.</t>
        </is>
      </c>
    </row>
    <row r="6">
      <c r="A6" s="6" t="inlineStr">
        <is>
          <t>Precio por número (Nueva Zelanda)</t>
        </is>
      </c>
      <c r="B6" s="11" t="n">
        <v>4</v>
      </c>
      <c r="C6" s="8" t="inlineStr">
        <is>
          <t>NZD</t>
        </is>
      </c>
      <c r="D6" s="9" t="inlineStr">
        <is>
          <t>Decisión 23: NZD 4 por número.</t>
        </is>
      </c>
    </row>
    <row r="7">
      <c r="A7" s="6" t="inlineStr">
        <is>
          <t>Tasa de cambio COP por NZD</t>
        </is>
      </c>
      <c r="B7" s="7" t="n">
        <v>1843</v>
      </c>
      <c r="C7" s="8" t="inlineStr">
        <is>
          <t>COP/NZD</t>
        </is>
      </c>
      <c r="D7" s="9" t="inlineStr">
        <is>
          <t>Tasa media del mercado del 2026-10-02 (1.843,34). Actualizar antes de liquidar con NZ.</t>
        </is>
      </c>
    </row>
    <row r="8">
      <c r="A8" s="6" t="inlineStr">
        <is>
          <t>Precio del número de NZ en pesos</t>
        </is>
      </c>
      <c r="B8" s="12">
        <f>B6*B7</f>
        <v/>
      </c>
      <c r="C8" s="8" t="inlineStr">
        <is>
          <t>COP</t>
        </is>
      </c>
      <c r="D8" s="9" t="inlineStr">
        <is>
          <t>Calculado. El número de NZ rinde más que el de Colombia.</t>
        </is>
      </c>
    </row>
    <row r="9">
      <c r="A9" s="6" t="inlineStr">
        <is>
          <t>Premio al ganador (Colombia)</t>
        </is>
      </c>
      <c r="B9" s="10" t="n">
        <v>2000000</v>
      </c>
      <c r="C9" s="8" t="inlineStr">
        <is>
          <t>COP</t>
        </is>
      </c>
      <c r="D9" s="9" t="inlineStr">
        <is>
          <t>Decisiones 6 y 37: se paga completo si el número de la Boyacá está vendido. Si no, va el premio de consolación (hoja REGLA-PREMIO).</t>
        </is>
      </c>
    </row>
    <row r="10">
      <c r="A10" s="6" t="inlineStr">
        <is>
          <t>Premio si el ganador está en NZ</t>
        </is>
      </c>
      <c r="B10" s="11" t="n">
        <v>1000</v>
      </c>
      <c r="C10" s="8" t="inlineStr">
        <is>
          <t>NZD</t>
        </is>
      </c>
      <c r="D10" s="9" t="inlineStr">
        <is>
          <t>Decisión 25.</t>
        </is>
      </c>
    </row>
    <row r="11">
      <c r="A11" s="6" t="inlineStr">
        <is>
          <t>Mínimo garantizado si gana en NZ</t>
        </is>
      </c>
      <c r="B11" s="10" t="n">
        <v>1900000</v>
      </c>
      <c r="C11" s="8" t="inlineStr">
        <is>
          <t>COP</t>
        </is>
      </c>
      <c r="D11" s="9" t="inlineStr">
        <is>
          <t>Decisión 25: Sofía completa la diferencia si los NZD 1.000 valen menos.</t>
        </is>
      </c>
    </row>
    <row r="12">
      <c r="A12" s="6" t="inlineStr">
        <is>
          <t>Premio al vendedor</t>
        </is>
      </c>
      <c r="B12" s="10" t="n">
        <v>100000</v>
      </c>
      <c r="C12" s="8" t="inlineStr">
        <is>
          <t>COP</t>
        </is>
      </c>
      <c r="D12" s="9" t="inlineStr">
        <is>
          <t>Decisión 9: solo si vendió a más de 25 personas distintas Y uno de sus compradores gana. El modelo lo cuenta siempre, por prudencia. Con la decisión 37, aplica también cuando va la consolación.</t>
        </is>
      </c>
    </row>
    <row r="13">
      <c r="A13" s="6" t="inlineStr">
        <is>
          <t>Gastos varios</t>
        </is>
      </c>
      <c r="B13" s="10" t="n">
        <v>50000</v>
      </c>
      <c r="C13" s="8" t="inlineStr">
        <is>
          <t>COP</t>
        </is>
      </c>
      <c r="D13" s="9" t="inlineStr">
        <is>
          <t>Datos, imágenes, imprevistos. El formato es 100% digital, así que no hay impresión.</t>
        </is>
      </c>
    </row>
    <row r="14">
      <c r="A14" s="6" t="inlineStr">
        <is>
          <t>Comisión de las tiendas aliadas</t>
        </is>
      </c>
      <c r="B14" s="13" t="n">
        <v>0.1</v>
      </c>
      <c r="C14" s="8" t="inlineStr">
        <is>
          <t>%</t>
        </is>
      </c>
      <c r="D14" s="9" t="inlineStr">
        <is>
          <t>Decisión 26: 10% por número. Cada número vendido en tienda deja COP 600 menos.</t>
        </is>
      </c>
    </row>
    <row r="15">
      <c r="A15" s="6" t="inlineStr">
        <is>
          <t>Se contrata Tizumba? (0=no, 1=si)</t>
        </is>
      </c>
      <c r="B15" s="14" t="n">
        <v>0</v>
      </c>
      <c r="C15" s="8" t="inlineStr">
        <is>
          <t>0 / 1</t>
        </is>
      </c>
      <c r="D15" s="9" t="inlineStr">
        <is>
          <t>Decisión 16: se decide en el punto de control del dom 1 nov (31 oct - 1a semana de nov).</t>
        </is>
      </c>
    </row>
    <row r="16">
      <c r="A16" s="6" t="inlineStr">
        <is>
          <t>Costo de Tizumba</t>
        </is>
      </c>
      <c r="B16" s="10" t="n">
        <v>100000</v>
      </c>
      <c r="C16" s="8" t="inlineStr">
        <is>
          <t>COP</t>
        </is>
      </c>
      <c r="D16" s="9" t="inlineStr">
        <is>
          <t>Estimado del plan maestro.</t>
        </is>
      </c>
    </row>
    <row r="17">
      <c r="A17" s="6" t="inlineStr">
        <is>
          <t>Costo de Tizumba aplicado</t>
        </is>
      </c>
      <c r="B17" s="12">
        <f>B15*B16</f>
        <v/>
      </c>
      <c r="C17" s="8" t="inlineStr">
        <is>
          <t>COP</t>
        </is>
      </c>
      <c r="D17" s="9" t="inlineStr">
        <is>
          <t>Calculado.</t>
        </is>
      </c>
    </row>
    <row r="19">
      <c r="A19" s="5" t="inlineStr">
        <is>
          <t>MEZCLA DE VENTAS (para ESCENARIOS)</t>
        </is>
      </c>
      <c r="B19" s="15" t="inlineStr"/>
      <c r="C19" s="15" t="inlineStr"/>
      <c r="D19" s="16" t="inlineStr"/>
    </row>
    <row r="20">
      <c r="A20" s="6" t="inlineStr">
        <is>
          <t>% de números vendidos en Nueva Zelanda</t>
        </is>
      </c>
      <c r="B20" s="13" t="n">
        <v>0.08</v>
      </c>
      <c r="C20" s="8" t="inlineStr">
        <is>
          <t>%</t>
        </is>
      </c>
      <c r="D20" s="9" t="inlineStr">
        <is>
          <t>Estimado del plan: 50-100 números de 1.000 (5-11%).</t>
        </is>
      </c>
    </row>
    <row r="21">
      <c r="A21" s="6" t="inlineStr">
        <is>
          <t>% de números vendidos por tiendas</t>
        </is>
      </c>
      <c r="B21" s="13" t="n">
        <v>0.1</v>
      </c>
      <c r="C21" s="8" t="inlineStr">
        <is>
          <t>%</t>
        </is>
      </c>
      <c r="D21" s="9" t="inlineStr">
        <is>
          <t>Estimado: 1-3 tiendas x 20-40 números cada una.</t>
        </is>
      </c>
    </row>
    <row r="22">
      <c r="A22" s="6" t="inlineStr">
        <is>
          <t>% de números vendidos directo (resto)</t>
        </is>
      </c>
      <c r="B22" s="17">
        <f>1-B20-B21</f>
        <v/>
      </c>
      <c r="C22" s="8" t="inlineStr">
        <is>
          <t>%</t>
        </is>
      </c>
      <c r="D22" s="9" t="inlineStr">
        <is>
          <t>Calculado. Son los que no pagan comisión.</t>
        </is>
      </c>
    </row>
    <row r="24">
      <c r="A24" s="5" t="inlineStr">
        <is>
          <t>METAS</t>
        </is>
      </c>
      <c r="B24" s="15" t="inlineStr"/>
      <c r="C24" s="15" t="inlineStr"/>
      <c r="D24" s="16" t="inlineStr"/>
    </row>
    <row r="25">
      <c r="A25" s="6" t="inlineStr">
        <is>
          <t>Piso neto objetivo</t>
        </is>
      </c>
      <c r="B25" s="10" t="n">
        <v>3000000</v>
      </c>
      <c r="C25" s="8" t="inlineStr">
        <is>
          <t>COP</t>
        </is>
      </c>
      <c r="D25" s="9" t="inlineStr">
        <is>
          <t>Decisión 1. Es el mínimo para la moto más barata, y aun así deja los extras sin cubrir.</t>
        </is>
      </c>
    </row>
    <row r="26">
      <c r="A26" s="6" t="inlineStr">
        <is>
          <t>Meta de números</t>
        </is>
      </c>
      <c r="B26" s="7" t="n">
        <v>900</v>
      </c>
      <c r="C26" s="8" t="inlineStr">
        <is>
          <t>números</t>
        </is>
      </c>
      <c r="D26" s="9" t="inlineStr">
        <is>
          <t>Plan maestro: el piso exige ~860-890, la meta da colchón.</t>
        </is>
      </c>
    </row>
    <row r="28">
      <c r="A28" s="18" t="inlineStr">
        <is>
          <t>Amarillo = se edita.  Crema = se calcula.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0A6"/>
    <outlinePr summaryBelow="1" summaryRight="1"/>
    <pageSetUpPr/>
  </sheetPr>
  <dimension ref="A1:Q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hidden="1" outlineLevel="1" width="13" customWidth="1" min="3" max="3"/>
    <col hidden="1" outlineLevel="1" width="12" customWidth="1" min="4" max="4"/>
    <col hidden="1" outlineLevel="1" width="10" customWidth="1" min="5" max="5"/>
    <col hidden="1" outlineLevel="1" width="15" customWidth="1" min="6" max="6"/>
    <col hidden="1" outlineLevel="1" width="15" customWidth="1" min="7" max="7"/>
    <col hidden="1" outlineLevel="1" width="14" customWidth="1" min="8" max="8"/>
    <col width="16" customWidth="1" min="9" max="9"/>
    <col hidden="1" outlineLevel="1" width="13" customWidth="1" min="10" max="10"/>
    <col hidden="1" outlineLevel="1" width="14" customWidth="1" min="11" max="11"/>
    <col hidden="1" outlineLevel="1" width="12" customWidth="1" min="12" max="12"/>
    <col hidden="1" outlineLevel="1" width="15" customWidth="1" min="13" max="13"/>
    <col hidden="1" outlineLevel="1" width="12" customWidth="1" min="14" max="14"/>
    <col width="14" customWidth="1" min="15" max="15"/>
    <col width="16" customWidth="1" min="16" max="16"/>
    <col width="26" customWidth="1" min="17" max="17"/>
  </cols>
  <sheetData>
    <row r="1" ht="24" customHeight="1">
      <c r="A1" s="1" t="inlineStr">
        <is>
          <t>ESCENARIOS - neto segun numeros vendidos (mezcla de SUPUESTOS)</t>
        </is>
      </c>
    </row>
    <row r="2">
      <c r="A2" s="18" t="inlineStr">
        <is>
          <t>La mezcla (% NZ y % tiendas) sale de SUPUESTOS. Cambie alla y toda la tabla se recalcula.</t>
        </is>
      </c>
    </row>
    <row r="4" ht="32" customHeight="1">
      <c r="A4" s="19" t="inlineStr">
        <is>
          <t>Números vendidos</t>
        </is>
      </c>
      <c r="B4" s="19" t="inlineStr">
        <is>
          <t>% del tablero</t>
        </is>
      </c>
      <c r="C4" s="19" t="inlineStr">
        <is>
          <t>Núm. directos</t>
        </is>
      </c>
      <c r="D4" s="19" t="inlineStr">
        <is>
          <t>Núm. tiendas</t>
        </is>
      </c>
      <c r="E4" s="19" t="inlineStr">
        <is>
          <t>Núm. NZ</t>
        </is>
      </c>
      <c r="F4" s="19" t="inlineStr">
        <is>
          <t>Ingreso directo</t>
        </is>
      </c>
      <c r="G4" s="19" t="inlineStr">
        <is>
          <t>Ingreso tiendas</t>
        </is>
      </c>
      <c r="H4" s="19" t="inlineStr">
        <is>
          <t>Ingreso NZ</t>
        </is>
      </c>
      <c r="I4" s="19" t="inlineStr">
        <is>
          <t>INGRESO TOTAL</t>
        </is>
      </c>
      <c r="J4" s="19" t="inlineStr">
        <is>
          <t>Premio</t>
        </is>
      </c>
      <c r="K4" s="19" t="inlineStr">
        <is>
          <t>Premio vendedor</t>
        </is>
      </c>
      <c r="L4" s="19" t="inlineStr">
        <is>
          <t>Varios</t>
        </is>
      </c>
      <c r="M4" s="19" t="inlineStr">
        <is>
          <t>Comisión tiendas</t>
        </is>
      </c>
      <c r="N4" s="19" t="inlineStr">
        <is>
          <t>Tizumba</t>
        </is>
      </c>
      <c r="O4" s="19" t="inlineStr">
        <is>
          <t>COSTOS</t>
        </is>
      </c>
      <c r="P4" s="19" t="inlineStr">
        <is>
          <t>NETO</t>
        </is>
      </c>
      <c r="Q4" s="19" t="inlineStr">
        <is>
          <t>Llega al piso?</t>
        </is>
      </c>
    </row>
    <row r="5">
      <c r="A5" s="20" t="n">
        <v>500</v>
      </c>
      <c r="B5" s="21">
        <f>A5/SUPUESTOS!$B$4</f>
        <v/>
      </c>
      <c r="C5" s="20">
        <f>ROUND(A5*(1-SUPUESTOS!$B$20-SUPUESTOS!$B$21),0)</f>
        <v/>
      </c>
      <c r="D5" s="20">
        <f>ROUND(A5*SUPUESTOS!$B$21,0)</f>
        <v/>
      </c>
      <c r="E5" s="20">
        <f>A5-C5-D5</f>
        <v/>
      </c>
      <c r="F5" s="22">
        <f>C5*SUPUESTOS!$B$5</f>
        <v/>
      </c>
      <c r="G5" s="22">
        <f>D5*SUPUESTOS!$B$5</f>
        <v/>
      </c>
      <c r="H5" s="22">
        <f>E5*SUPUESTOS!$B$8</f>
        <v/>
      </c>
      <c r="I5" s="22">
        <f>F5+G5+H5</f>
        <v/>
      </c>
      <c r="J5" s="22">
        <f>SUPUESTOS!$B$9</f>
        <v/>
      </c>
      <c r="K5" s="22">
        <f>SUPUESTOS!$B$12</f>
        <v/>
      </c>
      <c r="L5" s="22">
        <f>SUPUESTOS!$B$13</f>
        <v/>
      </c>
      <c r="M5" s="22">
        <f>G5*SUPUESTOS!$B$14</f>
        <v/>
      </c>
      <c r="N5" s="22">
        <f>SUPUESTOS!$B$17</f>
        <v/>
      </c>
      <c r="O5" s="22">
        <f>SUM(J5:N5)</f>
        <v/>
      </c>
      <c r="P5" s="23">
        <f>I5-O5</f>
        <v/>
      </c>
      <c r="Q5" s="8">
        <f>IF(P5&gt;=SUPUESTOS!$B$25,"SI","NO - faltan "&amp;TEXT(ROUNDUP((SUPUESTOS!$B$25-P5)/SUPUESTOS!$B$5,0),"0")&amp;" num.")</f>
        <v/>
      </c>
    </row>
    <row r="6">
      <c r="A6" s="20" t="n">
        <v>550</v>
      </c>
      <c r="B6" s="21">
        <f>A6/SUPUESTOS!$B$4</f>
        <v/>
      </c>
      <c r="C6" s="20">
        <f>ROUND(A6*(1-SUPUESTOS!$B$20-SUPUESTOS!$B$21),0)</f>
        <v/>
      </c>
      <c r="D6" s="20">
        <f>ROUND(A6*SUPUESTOS!$B$21,0)</f>
        <v/>
      </c>
      <c r="E6" s="20">
        <f>A6-C6-D6</f>
        <v/>
      </c>
      <c r="F6" s="22">
        <f>C6*SUPUESTOS!$B$5</f>
        <v/>
      </c>
      <c r="G6" s="22">
        <f>D6*SUPUESTOS!$B$5</f>
        <v/>
      </c>
      <c r="H6" s="22">
        <f>E6*SUPUESTOS!$B$8</f>
        <v/>
      </c>
      <c r="I6" s="22">
        <f>F6+G6+H6</f>
        <v/>
      </c>
      <c r="J6" s="22">
        <f>SUPUESTOS!$B$9</f>
        <v/>
      </c>
      <c r="K6" s="22">
        <f>SUPUESTOS!$B$12</f>
        <v/>
      </c>
      <c r="L6" s="22">
        <f>SUPUESTOS!$B$13</f>
        <v/>
      </c>
      <c r="M6" s="22">
        <f>G6*SUPUESTOS!$B$14</f>
        <v/>
      </c>
      <c r="N6" s="22">
        <f>SUPUESTOS!$B$17</f>
        <v/>
      </c>
      <c r="O6" s="22">
        <f>SUM(J6:N6)</f>
        <v/>
      </c>
      <c r="P6" s="23">
        <f>I6-O6</f>
        <v/>
      </c>
      <c r="Q6" s="8">
        <f>IF(P6&gt;=SUPUESTOS!$B$25,"SI","NO - faltan "&amp;TEXT(ROUNDUP((SUPUESTOS!$B$25-P6)/SUPUESTOS!$B$5,0),"0")&amp;" num.")</f>
        <v/>
      </c>
    </row>
    <row r="7">
      <c r="A7" s="20" t="n">
        <v>600</v>
      </c>
      <c r="B7" s="21">
        <f>A7/SUPUESTOS!$B$4</f>
        <v/>
      </c>
      <c r="C7" s="20">
        <f>ROUND(A7*(1-SUPUESTOS!$B$20-SUPUESTOS!$B$21),0)</f>
        <v/>
      </c>
      <c r="D7" s="20">
        <f>ROUND(A7*SUPUESTOS!$B$21,0)</f>
        <v/>
      </c>
      <c r="E7" s="20">
        <f>A7-C7-D7</f>
        <v/>
      </c>
      <c r="F7" s="22">
        <f>C7*SUPUESTOS!$B$5</f>
        <v/>
      </c>
      <c r="G7" s="22">
        <f>D7*SUPUESTOS!$B$5</f>
        <v/>
      </c>
      <c r="H7" s="22">
        <f>E7*SUPUESTOS!$B$8</f>
        <v/>
      </c>
      <c r="I7" s="22">
        <f>F7+G7+H7</f>
        <v/>
      </c>
      <c r="J7" s="22">
        <f>SUPUESTOS!$B$9</f>
        <v/>
      </c>
      <c r="K7" s="22">
        <f>SUPUESTOS!$B$12</f>
        <v/>
      </c>
      <c r="L7" s="22">
        <f>SUPUESTOS!$B$13</f>
        <v/>
      </c>
      <c r="M7" s="22">
        <f>G7*SUPUESTOS!$B$14</f>
        <v/>
      </c>
      <c r="N7" s="22">
        <f>SUPUESTOS!$B$17</f>
        <v/>
      </c>
      <c r="O7" s="22">
        <f>SUM(J7:N7)</f>
        <v/>
      </c>
      <c r="P7" s="23">
        <f>I7-O7</f>
        <v/>
      </c>
      <c r="Q7" s="8">
        <f>IF(P7&gt;=SUPUESTOS!$B$25,"SI","NO - faltan "&amp;TEXT(ROUNDUP((SUPUESTOS!$B$25-P7)/SUPUESTOS!$B$5,0),"0")&amp;" num.")</f>
        <v/>
      </c>
    </row>
    <row r="8">
      <c r="A8" s="20" t="n">
        <v>650</v>
      </c>
      <c r="B8" s="21">
        <f>A8/SUPUESTOS!$B$4</f>
        <v/>
      </c>
      <c r="C8" s="20">
        <f>ROUND(A8*(1-SUPUESTOS!$B$20-SUPUESTOS!$B$21),0)</f>
        <v/>
      </c>
      <c r="D8" s="20">
        <f>ROUND(A8*SUPUESTOS!$B$21,0)</f>
        <v/>
      </c>
      <c r="E8" s="20">
        <f>A8-C8-D8</f>
        <v/>
      </c>
      <c r="F8" s="22">
        <f>C8*SUPUESTOS!$B$5</f>
        <v/>
      </c>
      <c r="G8" s="22">
        <f>D8*SUPUESTOS!$B$5</f>
        <v/>
      </c>
      <c r="H8" s="22">
        <f>E8*SUPUESTOS!$B$8</f>
        <v/>
      </c>
      <c r="I8" s="22">
        <f>F8+G8+H8</f>
        <v/>
      </c>
      <c r="J8" s="22">
        <f>SUPUESTOS!$B$9</f>
        <v/>
      </c>
      <c r="K8" s="22">
        <f>SUPUESTOS!$B$12</f>
        <v/>
      </c>
      <c r="L8" s="22">
        <f>SUPUESTOS!$B$13</f>
        <v/>
      </c>
      <c r="M8" s="22">
        <f>G8*SUPUESTOS!$B$14</f>
        <v/>
      </c>
      <c r="N8" s="22">
        <f>SUPUESTOS!$B$17</f>
        <v/>
      </c>
      <c r="O8" s="22">
        <f>SUM(J8:N8)</f>
        <v/>
      </c>
      <c r="P8" s="23">
        <f>I8-O8</f>
        <v/>
      </c>
      <c r="Q8" s="8">
        <f>IF(P8&gt;=SUPUESTOS!$B$25,"SI","NO - faltan "&amp;TEXT(ROUNDUP((SUPUESTOS!$B$25-P8)/SUPUESTOS!$B$5,0),"0")&amp;" num.")</f>
        <v/>
      </c>
    </row>
    <row r="9">
      <c r="A9" s="20" t="n">
        <v>700</v>
      </c>
      <c r="B9" s="21">
        <f>A9/SUPUESTOS!$B$4</f>
        <v/>
      </c>
      <c r="C9" s="20">
        <f>ROUND(A9*(1-SUPUESTOS!$B$20-SUPUESTOS!$B$21),0)</f>
        <v/>
      </c>
      <c r="D9" s="20">
        <f>ROUND(A9*SUPUESTOS!$B$21,0)</f>
        <v/>
      </c>
      <c r="E9" s="20">
        <f>A9-C9-D9</f>
        <v/>
      </c>
      <c r="F9" s="22">
        <f>C9*SUPUESTOS!$B$5</f>
        <v/>
      </c>
      <c r="G9" s="22">
        <f>D9*SUPUESTOS!$B$5</f>
        <v/>
      </c>
      <c r="H9" s="22">
        <f>E9*SUPUESTOS!$B$8</f>
        <v/>
      </c>
      <c r="I9" s="22">
        <f>F9+G9+H9</f>
        <v/>
      </c>
      <c r="J9" s="22">
        <f>SUPUESTOS!$B$9</f>
        <v/>
      </c>
      <c r="K9" s="22">
        <f>SUPUESTOS!$B$12</f>
        <v/>
      </c>
      <c r="L9" s="22">
        <f>SUPUESTOS!$B$13</f>
        <v/>
      </c>
      <c r="M9" s="22">
        <f>G9*SUPUESTOS!$B$14</f>
        <v/>
      </c>
      <c r="N9" s="22">
        <f>SUPUESTOS!$B$17</f>
        <v/>
      </c>
      <c r="O9" s="22">
        <f>SUM(J9:N9)</f>
        <v/>
      </c>
      <c r="P9" s="23">
        <f>I9-O9</f>
        <v/>
      </c>
      <c r="Q9" s="8">
        <f>IF(P9&gt;=SUPUESTOS!$B$25,"SI","NO - faltan "&amp;TEXT(ROUNDUP((SUPUESTOS!$B$25-P9)/SUPUESTOS!$B$5,0),"0")&amp;" num.")</f>
        <v/>
      </c>
    </row>
    <row r="10">
      <c r="A10" s="20" t="n">
        <v>750</v>
      </c>
      <c r="B10" s="21">
        <f>A10/SUPUESTOS!$B$4</f>
        <v/>
      </c>
      <c r="C10" s="20">
        <f>ROUND(A10*(1-SUPUESTOS!$B$20-SUPUESTOS!$B$21),0)</f>
        <v/>
      </c>
      <c r="D10" s="20">
        <f>ROUND(A10*SUPUESTOS!$B$21,0)</f>
        <v/>
      </c>
      <c r="E10" s="20">
        <f>A10-C10-D10</f>
        <v/>
      </c>
      <c r="F10" s="22">
        <f>C10*SUPUESTOS!$B$5</f>
        <v/>
      </c>
      <c r="G10" s="22">
        <f>D10*SUPUESTOS!$B$5</f>
        <v/>
      </c>
      <c r="H10" s="22">
        <f>E10*SUPUESTOS!$B$8</f>
        <v/>
      </c>
      <c r="I10" s="22">
        <f>F10+G10+H10</f>
        <v/>
      </c>
      <c r="J10" s="22">
        <f>SUPUESTOS!$B$9</f>
        <v/>
      </c>
      <c r="K10" s="22">
        <f>SUPUESTOS!$B$12</f>
        <v/>
      </c>
      <c r="L10" s="22">
        <f>SUPUESTOS!$B$13</f>
        <v/>
      </c>
      <c r="M10" s="22">
        <f>G10*SUPUESTOS!$B$14</f>
        <v/>
      </c>
      <c r="N10" s="22">
        <f>SUPUESTOS!$B$17</f>
        <v/>
      </c>
      <c r="O10" s="22">
        <f>SUM(J10:N10)</f>
        <v/>
      </c>
      <c r="P10" s="23">
        <f>I10-O10</f>
        <v/>
      </c>
      <c r="Q10" s="8">
        <f>IF(P10&gt;=SUPUESTOS!$B$25,"SI","NO - faltan "&amp;TEXT(ROUNDUP((SUPUESTOS!$B$25-P10)/SUPUESTOS!$B$5,0),"0")&amp;" num.")</f>
        <v/>
      </c>
    </row>
    <row r="11">
      <c r="A11" s="20" t="n">
        <v>800</v>
      </c>
      <c r="B11" s="21">
        <f>A11/SUPUESTOS!$B$4</f>
        <v/>
      </c>
      <c r="C11" s="20">
        <f>ROUND(A11*(1-SUPUESTOS!$B$20-SUPUESTOS!$B$21),0)</f>
        <v/>
      </c>
      <c r="D11" s="20">
        <f>ROUND(A11*SUPUESTOS!$B$21,0)</f>
        <v/>
      </c>
      <c r="E11" s="20">
        <f>A11-C11-D11</f>
        <v/>
      </c>
      <c r="F11" s="22">
        <f>C11*SUPUESTOS!$B$5</f>
        <v/>
      </c>
      <c r="G11" s="22">
        <f>D11*SUPUESTOS!$B$5</f>
        <v/>
      </c>
      <c r="H11" s="22">
        <f>E11*SUPUESTOS!$B$8</f>
        <v/>
      </c>
      <c r="I11" s="22">
        <f>F11+G11+H11</f>
        <v/>
      </c>
      <c r="J11" s="22">
        <f>SUPUESTOS!$B$9</f>
        <v/>
      </c>
      <c r="K11" s="22">
        <f>SUPUESTOS!$B$12</f>
        <v/>
      </c>
      <c r="L11" s="22">
        <f>SUPUESTOS!$B$13</f>
        <v/>
      </c>
      <c r="M11" s="22">
        <f>G11*SUPUESTOS!$B$14</f>
        <v/>
      </c>
      <c r="N11" s="22">
        <f>SUPUESTOS!$B$17</f>
        <v/>
      </c>
      <c r="O11" s="22">
        <f>SUM(J11:N11)</f>
        <v/>
      </c>
      <c r="P11" s="23">
        <f>I11-O11</f>
        <v/>
      </c>
      <c r="Q11" s="8">
        <f>IF(P11&gt;=SUPUESTOS!$B$25,"SI","NO - faltan "&amp;TEXT(ROUNDUP((SUPUESTOS!$B$25-P11)/SUPUESTOS!$B$5,0),"0")&amp;" num.")</f>
        <v/>
      </c>
    </row>
    <row r="12">
      <c r="A12" s="20" t="n">
        <v>850</v>
      </c>
      <c r="B12" s="21">
        <f>A12/SUPUESTOS!$B$4</f>
        <v/>
      </c>
      <c r="C12" s="20">
        <f>ROUND(A12*(1-SUPUESTOS!$B$20-SUPUESTOS!$B$21),0)</f>
        <v/>
      </c>
      <c r="D12" s="20">
        <f>ROUND(A12*SUPUESTOS!$B$21,0)</f>
        <v/>
      </c>
      <c r="E12" s="20">
        <f>A12-C12-D12</f>
        <v/>
      </c>
      <c r="F12" s="22">
        <f>C12*SUPUESTOS!$B$5</f>
        <v/>
      </c>
      <c r="G12" s="22">
        <f>D12*SUPUESTOS!$B$5</f>
        <v/>
      </c>
      <c r="H12" s="22">
        <f>E12*SUPUESTOS!$B$8</f>
        <v/>
      </c>
      <c r="I12" s="22">
        <f>F12+G12+H12</f>
        <v/>
      </c>
      <c r="J12" s="22">
        <f>SUPUESTOS!$B$9</f>
        <v/>
      </c>
      <c r="K12" s="22">
        <f>SUPUESTOS!$B$12</f>
        <v/>
      </c>
      <c r="L12" s="22">
        <f>SUPUESTOS!$B$13</f>
        <v/>
      </c>
      <c r="M12" s="22">
        <f>G12*SUPUESTOS!$B$14</f>
        <v/>
      </c>
      <c r="N12" s="22">
        <f>SUPUESTOS!$B$17</f>
        <v/>
      </c>
      <c r="O12" s="22">
        <f>SUM(J12:N12)</f>
        <v/>
      </c>
      <c r="P12" s="23">
        <f>I12-O12</f>
        <v/>
      </c>
      <c r="Q12" s="8">
        <f>IF(P12&gt;=SUPUESTOS!$B$25,"SI","NO - faltan "&amp;TEXT(ROUNDUP((SUPUESTOS!$B$25-P12)/SUPUESTOS!$B$5,0),"0")&amp;" num.")</f>
        <v/>
      </c>
    </row>
    <row r="13">
      <c r="A13" s="24" t="n">
        <v>859</v>
      </c>
      <c r="B13" s="17">
        <f>A13/SUPUESTOS!$B$4</f>
        <v/>
      </c>
      <c r="C13" s="24">
        <f>ROUND(A13*(1-SUPUESTOS!$B$20-SUPUESTOS!$B$21),0)</f>
        <v/>
      </c>
      <c r="D13" s="24">
        <f>ROUND(A13*SUPUESTOS!$B$21,0)</f>
        <v/>
      </c>
      <c r="E13" s="24">
        <f>A13-C13-D13</f>
        <v/>
      </c>
      <c r="F13" s="12">
        <f>C13*SUPUESTOS!$B$5</f>
        <v/>
      </c>
      <c r="G13" s="12">
        <f>D13*SUPUESTOS!$B$5</f>
        <v/>
      </c>
      <c r="H13" s="12">
        <f>E13*SUPUESTOS!$B$8</f>
        <v/>
      </c>
      <c r="I13" s="12">
        <f>F13+G13+H13</f>
        <v/>
      </c>
      <c r="J13" s="12">
        <f>SUPUESTOS!$B$9</f>
        <v/>
      </c>
      <c r="K13" s="12">
        <f>SUPUESTOS!$B$12</f>
        <v/>
      </c>
      <c r="L13" s="12">
        <f>SUPUESTOS!$B$13</f>
        <v/>
      </c>
      <c r="M13" s="12">
        <f>G13*SUPUESTOS!$B$14</f>
        <v/>
      </c>
      <c r="N13" s="12">
        <f>SUPUESTOS!$B$17</f>
        <v/>
      </c>
      <c r="O13" s="12">
        <f>SUM(J13:N13)</f>
        <v/>
      </c>
      <c r="P13" s="25">
        <f>I13-O13</f>
        <v/>
      </c>
      <c r="Q13" s="26">
        <f>IF(P13&gt;=SUPUESTOS!$B$25,"SI","NO - faltan "&amp;TEXT(ROUNDUP((SUPUESTOS!$B$25-P13)/SUPUESTOS!$B$5,0),"0")&amp;" num.")</f>
        <v/>
      </c>
    </row>
    <row r="14">
      <c r="A14" s="24" t="n">
        <v>867</v>
      </c>
      <c r="B14" s="17">
        <f>A14/SUPUESTOS!$B$4</f>
        <v/>
      </c>
      <c r="C14" s="24">
        <f>ROUND(A14*(1-SUPUESTOS!$B$20-SUPUESTOS!$B$21),0)</f>
        <v/>
      </c>
      <c r="D14" s="24">
        <f>ROUND(A14*SUPUESTOS!$B$21,0)</f>
        <v/>
      </c>
      <c r="E14" s="24">
        <f>A14-C14-D14</f>
        <v/>
      </c>
      <c r="F14" s="12">
        <f>C14*SUPUESTOS!$B$5</f>
        <v/>
      </c>
      <c r="G14" s="12">
        <f>D14*SUPUESTOS!$B$5</f>
        <v/>
      </c>
      <c r="H14" s="12">
        <f>E14*SUPUESTOS!$B$8</f>
        <v/>
      </c>
      <c r="I14" s="12">
        <f>F14+G14+H14</f>
        <v/>
      </c>
      <c r="J14" s="12">
        <f>SUPUESTOS!$B$9</f>
        <v/>
      </c>
      <c r="K14" s="12">
        <f>SUPUESTOS!$B$12</f>
        <v/>
      </c>
      <c r="L14" s="12">
        <f>SUPUESTOS!$B$13</f>
        <v/>
      </c>
      <c r="M14" s="12">
        <f>G14*SUPUESTOS!$B$14</f>
        <v/>
      </c>
      <c r="N14" s="12">
        <f>SUPUESTOS!$B$17</f>
        <v/>
      </c>
      <c r="O14" s="12">
        <f>SUM(J14:N14)</f>
        <v/>
      </c>
      <c r="P14" s="25">
        <f>I14-O14</f>
        <v/>
      </c>
      <c r="Q14" s="26">
        <f>IF(P14&gt;=SUPUESTOS!$B$25,"SI","NO - faltan "&amp;TEXT(ROUNDUP((SUPUESTOS!$B$25-P14)/SUPUESTOS!$B$5,0),"0")&amp;" num.")</f>
        <v/>
      </c>
    </row>
    <row r="15">
      <c r="A15" s="24" t="n">
        <v>890</v>
      </c>
      <c r="B15" s="17">
        <f>A15/SUPUESTOS!$B$4</f>
        <v/>
      </c>
      <c r="C15" s="24">
        <f>ROUND(A15*(1-SUPUESTOS!$B$20-SUPUESTOS!$B$21),0)</f>
        <v/>
      </c>
      <c r="D15" s="24">
        <f>ROUND(A15*SUPUESTOS!$B$21,0)</f>
        <v/>
      </c>
      <c r="E15" s="24">
        <f>A15-C15-D15</f>
        <v/>
      </c>
      <c r="F15" s="12">
        <f>C15*SUPUESTOS!$B$5</f>
        <v/>
      </c>
      <c r="G15" s="12">
        <f>D15*SUPUESTOS!$B$5</f>
        <v/>
      </c>
      <c r="H15" s="12">
        <f>E15*SUPUESTOS!$B$8</f>
        <v/>
      </c>
      <c r="I15" s="12">
        <f>F15+G15+H15</f>
        <v/>
      </c>
      <c r="J15" s="12">
        <f>SUPUESTOS!$B$9</f>
        <v/>
      </c>
      <c r="K15" s="12">
        <f>SUPUESTOS!$B$12</f>
        <v/>
      </c>
      <c r="L15" s="12">
        <f>SUPUESTOS!$B$13</f>
        <v/>
      </c>
      <c r="M15" s="12">
        <f>G15*SUPUESTOS!$B$14</f>
        <v/>
      </c>
      <c r="N15" s="12">
        <f>SUPUESTOS!$B$17</f>
        <v/>
      </c>
      <c r="O15" s="12">
        <f>SUM(J15:N15)</f>
        <v/>
      </c>
      <c r="P15" s="25">
        <f>I15-O15</f>
        <v/>
      </c>
      <c r="Q15" s="26">
        <f>IF(P15&gt;=SUPUESTOS!$B$25,"SI","NO - faltan "&amp;TEXT(ROUNDUP((SUPUESTOS!$B$25-P15)/SUPUESTOS!$B$5,0),"0")&amp;" num.")</f>
        <v/>
      </c>
    </row>
    <row r="16">
      <c r="A16" s="24" t="n">
        <v>900</v>
      </c>
      <c r="B16" s="17">
        <f>A16/SUPUESTOS!$B$4</f>
        <v/>
      </c>
      <c r="C16" s="24">
        <f>ROUND(A16*(1-SUPUESTOS!$B$20-SUPUESTOS!$B$21),0)</f>
        <v/>
      </c>
      <c r="D16" s="24">
        <f>ROUND(A16*SUPUESTOS!$B$21,0)</f>
        <v/>
      </c>
      <c r="E16" s="24">
        <f>A16-C16-D16</f>
        <v/>
      </c>
      <c r="F16" s="12">
        <f>C16*SUPUESTOS!$B$5</f>
        <v/>
      </c>
      <c r="G16" s="12">
        <f>D16*SUPUESTOS!$B$5</f>
        <v/>
      </c>
      <c r="H16" s="12">
        <f>E16*SUPUESTOS!$B$8</f>
        <v/>
      </c>
      <c r="I16" s="12">
        <f>F16+G16+H16</f>
        <v/>
      </c>
      <c r="J16" s="12">
        <f>SUPUESTOS!$B$9</f>
        <v/>
      </c>
      <c r="K16" s="12">
        <f>SUPUESTOS!$B$12</f>
        <v/>
      </c>
      <c r="L16" s="12">
        <f>SUPUESTOS!$B$13</f>
        <v/>
      </c>
      <c r="M16" s="12">
        <f>G16*SUPUESTOS!$B$14</f>
        <v/>
      </c>
      <c r="N16" s="12">
        <f>SUPUESTOS!$B$17</f>
        <v/>
      </c>
      <c r="O16" s="12">
        <f>SUM(J16:N16)</f>
        <v/>
      </c>
      <c r="P16" s="25">
        <f>I16-O16</f>
        <v/>
      </c>
      <c r="Q16" s="26">
        <f>IF(P16&gt;=SUPUESTOS!$B$25,"SI","NO - faltan "&amp;TEXT(ROUNDUP((SUPUESTOS!$B$25-P16)/SUPUESTOS!$B$5,0),"0")&amp;" num.")</f>
        <v/>
      </c>
    </row>
    <row r="17">
      <c r="A17" s="20" t="n">
        <v>950</v>
      </c>
      <c r="B17" s="21">
        <f>A17/SUPUESTOS!$B$4</f>
        <v/>
      </c>
      <c r="C17" s="20">
        <f>ROUND(A17*(1-SUPUESTOS!$B$20-SUPUESTOS!$B$21),0)</f>
        <v/>
      </c>
      <c r="D17" s="20">
        <f>ROUND(A17*SUPUESTOS!$B$21,0)</f>
        <v/>
      </c>
      <c r="E17" s="20">
        <f>A17-C17-D17</f>
        <v/>
      </c>
      <c r="F17" s="22">
        <f>C17*SUPUESTOS!$B$5</f>
        <v/>
      </c>
      <c r="G17" s="22">
        <f>D17*SUPUESTOS!$B$5</f>
        <v/>
      </c>
      <c r="H17" s="22">
        <f>E17*SUPUESTOS!$B$8</f>
        <v/>
      </c>
      <c r="I17" s="22">
        <f>F17+G17+H17</f>
        <v/>
      </c>
      <c r="J17" s="22">
        <f>SUPUESTOS!$B$9</f>
        <v/>
      </c>
      <c r="K17" s="22">
        <f>SUPUESTOS!$B$12</f>
        <v/>
      </c>
      <c r="L17" s="22">
        <f>SUPUESTOS!$B$13</f>
        <v/>
      </c>
      <c r="M17" s="22">
        <f>G17*SUPUESTOS!$B$14</f>
        <v/>
      </c>
      <c r="N17" s="22">
        <f>SUPUESTOS!$B$17</f>
        <v/>
      </c>
      <c r="O17" s="22">
        <f>SUM(J17:N17)</f>
        <v/>
      </c>
      <c r="P17" s="23">
        <f>I17-O17</f>
        <v/>
      </c>
      <c r="Q17" s="8">
        <f>IF(P17&gt;=SUPUESTOS!$B$25,"SI","NO - faltan "&amp;TEXT(ROUNDUP((SUPUESTOS!$B$25-P17)/SUPUESTOS!$B$5,0),"0")&amp;" num.")</f>
        <v/>
      </c>
    </row>
    <row r="18">
      <c r="A18" s="20" t="n">
        <v>1000</v>
      </c>
      <c r="B18" s="21">
        <f>A18/SUPUESTOS!$B$4</f>
        <v/>
      </c>
      <c r="C18" s="20">
        <f>ROUND(A18*(1-SUPUESTOS!$B$20-SUPUESTOS!$B$21),0)</f>
        <v/>
      </c>
      <c r="D18" s="20">
        <f>ROUND(A18*SUPUESTOS!$B$21,0)</f>
        <v/>
      </c>
      <c r="E18" s="20">
        <f>A18-C18-D18</f>
        <v/>
      </c>
      <c r="F18" s="22">
        <f>C18*SUPUESTOS!$B$5</f>
        <v/>
      </c>
      <c r="G18" s="22">
        <f>D18*SUPUESTOS!$B$5</f>
        <v/>
      </c>
      <c r="H18" s="22">
        <f>E18*SUPUESTOS!$B$8</f>
        <v/>
      </c>
      <c r="I18" s="22">
        <f>F18+G18+H18</f>
        <v/>
      </c>
      <c r="J18" s="22">
        <f>SUPUESTOS!$B$9</f>
        <v/>
      </c>
      <c r="K18" s="22">
        <f>SUPUESTOS!$B$12</f>
        <v/>
      </c>
      <c r="L18" s="22">
        <f>SUPUESTOS!$B$13</f>
        <v/>
      </c>
      <c r="M18" s="22">
        <f>G18*SUPUESTOS!$B$14</f>
        <v/>
      </c>
      <c r="N18" s="22">
        <f>SUPUESTOS!$B$17</f>
        <v/>
      </c>
      <c r="O18" s="22">
        <f>SUM(J18:N18)</f>
        <v/>
      </c>
      <c r="P18" s="23">
        <f>I18-O18</f>
        <v/>
      </c>
      <c r="Q18" s="8">
        <f>IF(P18&gt;=SUPUESTOS!$B$25,"SI","NO - faltan "&amp;TEXT(ROUNDUP((SUPUESTOS!$B$25-P18)/SUPUESTOS!$B$5,0),"0")&amp;" num.")</f>
        <v/>
      </c>
    </row>
    <row r="20">
      <c r="A20" s="18" t="inlineStr">
        <is>
          <t>Filas resaltadas: 859 = piso del plan sin ventas de tiendas | 867 = punto de equilibrio que calculo la investigacion a 0% de comision | 890 = tope del rango del piso | 900 = meta.</t>
        </is>
      </c>
    </row>
    <row r="21">
      <c r="A21" s="18" t="inlineStr">
        <is>
          <t>Con la mezcla de SUPUESTOS el neto cambia: los numeros de NZ rinden mas (NZD 4 = COP 7.372) y los de tienda rinden menos (COP 5.400 despues de la comision).</t>
        </is>
      </c>
    </row>
    <row r="22">
      <c r="A22" s="18" t="inlineStr">
        <is>
          <t>Esta hoja muestra el caso en que el número de la Boyacá está VENDIDO (se pagan los 2M), que es el caso malo. El caso sin vender y el neto esperado están en REGLA-PREMIO (decisión 37).</t>
        </is>
      </c>
    </row>
    <row r="23">
      <c r="A23" s="27" t="inlineStr">
        <is>
          <t>CALCULADORA: cuantos numeros faltan?</t>
        </is>
      </c>
    </row>
    <row r="24">
      <c r="A24" s="6" t="inlineStr">
        <is>
          <t>Números PAGADO hoy</t>
        </is>
      </c>
      <c r="B24" s="7" t="n">
        <v>0</v>
      </c>
    </row>
    <row r="25">
      <c r="A25" s="6" t="inlineStr">
        <is>
          <t>Neto con lo de hoy</t>
        </is>
      </c>
      <c r="B25" s="12">
        <f>ROUND(B24*(1-SUPUESTOS!$B$20-SUPUESTOS!$B$21),0)*SUPUESTOS!$B$5+ROUND(B24*SUPUESTOS!$B$21,0)*SUPUESTOS!$B$5*(1-SUPUESTOS!$B$14)+(B24-ROUND(B24*(1-SUPUESTOS!$B$20-SUPUESTOS!$B$21),0)-ROUND(B24*SUPUESTOS!$B$21,0))*SUPUESTOS!$B$8-SUPUESTOS!$B$9-SUPUESTOS!$B$12-SUPUESTOS!$B$13-SUPUESTOS!$B$17</f>
        <v/>
      </c>
    </row>
    <row r="26">
      <c r="A26" s="6" t="inlineStr">
        <is>
          <t>Falta para el piso</t>
        </is>
      </c>
      <c r="B26" s="12">
        <f>MAX(0,SUPUESTOS!$B$25-B25)</f>
        <v/>
      </c>
    </row>
    <row r="27">
      <c r="A27" s="6" t="inlineStr">
        <is>
          <t>Números que faltan (directos)</t>
        </is>
      </c>
      <c r="B27" s="24">
        <f>ROUNDUP(B26/SUPUESTOS!$B$5,0)</f>
        <v/>
      </c>
    </row>
    <row r="28">
      <c r="A28" s="6" t="inlineStr">
        <is>
          <t>Días que faltan para el cierre</t>
        </is>
      </c>
      <c r="B28" s="28">
        <f>MAX(0,DATE(2026,12,5)-TODAY())</f>
        <v/>
      </c>
    </row>
    <row r="29">
      <c r="A29" s="6" t="inlineStr">
        <is>
          <t>Números por día que exige</t>
        </is>
      </c>
      <c r="B29" s="29">
        <f>IF(B28=0,0,ROUNDUP(B27/B28,1))</f>
        <v/>
      </c>
    </row>
  </sheetData>
  <mergeCells count="2">
    <mergeCell ref="A23:D23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A0A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</cols>
  <sheetData>
    <row r="1" ht="24" customHeight="1">
      <c r="A1" s="37" t="inlineStr">
        <is>
          <t>REGLA DEL PREMIO - decisión 37: si el número de la Boyacá no se vendió, va un premio de consolación</t>
        </is>
      </c>
    </row>
    <row r="2" ht="45" customHeight="1">
      <c r="A2" s="38" t="inlineStr">
        <is>
          <t>Si las últimas 3 cifras del premio mayor de la Boyacá caen en un número PAGADO, se pagan los COP 2.000.000. Si caen en uno sin vender, no hay premio de 2M: el siguiente número vendido se lleva el premio de consolación. La probabilidad de que el número esté vendido es: vendidos / 1.000.</t>
        </is>
      </c>
    </row>
    <row r="4" ht="30" customHeight="1">
      <c r="A4" s="32" t="inlineStr">
        <is>
          <t>Premio de consolación</t>
        </is>
      </c>
      <c r="B4" s="39" t="n">
        <v>210000</v>
      </c>
      <c r="C4" s="38" t="inlineStr">
        <is>
          <t>Decidido el 2026-10-09 (decisión 41): el whisky se compra DESPUÉS del sorteo, solo si se activa la consolación. No se aparta plata: si nadie compró el número ganador, de la reserva de 2M (que no se paga) salen los 210k. La captura del 8 oct (Buchanan's Master 750 ml, COP 210.000, Éxito) es solo referencia de precio.</t>
        </is>
      </c>
    </row>
    <row r="5" ht="30" customHeight="1">
      <c r="A5" s="32" t="inlineStr">
        <is>
          <t>Premio al vendedor si va la consolación</t>
        </is>
      </c>
      <c r="B5" s="39" t="n">
        <v>100000</v>
      </c>
      <c r="C5" s="38" t="inlineStr">
        <is>
          <t>Decidido el 2026-10-08: los COP 100.000 al vendedor aplican también cuando va la consolación (si vendió a más de 25 personas distintas y uno de sus compradores gana).</t>
        </is>
      </c>
    </row>
    <row r="7" ht="45" customHeight="1">
      <c r="A7" s="40" t="inlineStr">
        <is>
          <t>Números vendidos</t>
        </is>
      </c>
      <c r="B7" s="40" t="inlineStr">
        <is>
          <t>Prob. de que el número esté vendido</t>
        </is>
      </c>
      <c r="C7" s="40" t="inlineStr">
        <is>
          <t>INGRESO TOTAL</t>
        </is>
      </c>
      <c r="D7" s="40" t="inlineStr">
        <is>
          <t>Varios + comisión tiendas + Tizumba</t>
        </is>
      </c>
      <c r="E7" s="40" t="inlineStr">
        <is>
          <t>NETO si se vendió (paga 2M) = caso malo</t>
        </is>
      </c>
      <c r="F7" s="40" t="inlineStr">
        <is>
          <t>NETO si no se vendió (consolación)</t>
        </is>
      </c>
      <c r="G7" s="40" t="inlineStr">
        <is>
          <t>NETO ESPERADO</t>
        </is>
      </c>
      <c r="H7" s="40" t="inlineStr">
        <is>
          <t>¿El caso malo llega al piso?</t>
        </is>
      </c>
    </row>
    <row r="8">
      <c r="A8" s="41" t="n">
        <v>300</v>
      </c>
      <c r="B8" s="42">
        <f>A8/SUPUESTOS!$B$4</f>
        <v/>
      </c>
      <c r="C8" s="43">
        <f>ROUND(A8*(1-SUPUESTOS!$B$20-SUPUESTOS!$B$21),0)*SUPUESTOS!$B$5+ROUND(A8*SUPUESTOS!$B$21,0)*SUPUESTOS!$B$5+(A8-ROUND(A8*(1-SUPUESTOS!$B$20-SUPUESTOS!$B$21),0)-ROUND(A8*SUPUESTOS!$B$21,0))*SUPUESTOS!$B$8</f>
        <v/>
      </c>
      <c r="D8" s="43">
        <f>SUPUESTOS!$B$13+ROUND(A8*SUPUESTOS!$B$21,0)*SUPUESTOS!$B$5*SUPUESTOS!$B$14+SUPUESTOS!$B$17</f>
        <v/>
      </c>
      <c r="E8" s="43">
        <f>C8-D8-SUPUESTOS!$B$9-SUPUESTOS!$B$12</f>
        <v/>
      </c>
      <c r="F8" s="43">
        <f>C8-D8-$B$4-$B$5</f>
        <v/>
      </c>
      <c r="G8" s="36">
        <f>B8*E8+(1-B8)*F8</f>
        <v/>
      </c>
      <c r="H8">
        <f>IF(E8&gt;=SUPUESTOS!$B$25,"SI","NO")</f>
        <v/>
      </c>
    </row>
    <row r="9">
      <c r="A9" s="41" t="n">
        <v>360</v>
      </c>
      <c r="B9" s="42">
        <f>A9/SUPUESTOS!$B$4</f>
        <v/>
      </c>
      <c r="C9" s="43">
        <f>ROUND(A9*(1-SUPUESTOS!$B$20-SUPUESTOS!$B$21),0)*SUPUESTOS!$B$5+ROUND(A9*SUPUESTOS!$B$21,0)*SUPUESTOS!$B$5+(A9-ROUND(A9*(1-SUPUESTOS!$B$20-SUPUESTOS!$B$21),0)-ROUND(A9*SUPUESTOS!$B$21,0))*SUPUESTOS!$B$8</f>
        <v/>
      </c>
      <c r="D9" s="43">
        <f>SUPUESTOS!$B$13+ROUND(A9*SUPUESTOS!$B$21,0)*SUPUESTOS!$B$5*SUPUESTOS!$B$14+SUPUESTOS!$B$17</f>
        <v/>
      </c>
      <c r="E9" s="43">
        <f>C9-D9-SUPUESTOS!$B$9-SUPUESTOS!$B$12</f>
        <v/>
      </c>
      <c r="F9" s="43">
        <f>C9-D9-$B$4-$B$5</f>
        <v/>
      </c>
      <c r="G9" s="36">
        <f>B9*E9+(1-B9)*F9</f>
        <v/>
      </c>
      <c r="H9">
        <f>IF(E9&gt;=SUPUESTOS!$B$25,"SI","NO")</f>
        <v/>
      </c>
    </row>
    <row r="10">
      <c r="A10" s="41" t="n">
        <v>400</v>
      </c>
      <c r="B10" s="42">
        <f>A10/SUPUESTOS!$B$4</f>
        <v/>
      </c>
      <c r="C10" s="43">
        <f>ROUND(A10*(1-SUPUESTOS!$B$20-SUPUESTOS!$B$21),0)*SUPUESTOS!$B$5+ROUND(A10*SUPUESTOS!$B$21,0)*SUPUESTOS!$B$5+(A10-ROUND(A10*(1-SUPUESTOS!$B$20-SUPUESTOS!$B$21),0)-ROUND(A10*SUPUESTOS!$B$21,0))*SUPUESTOS!$B$8</f>
        <v/>
      </c>
      <c r="D10" s="43">
        <f>SUPUESTOS!$B$13+ROUND(A10*SUPUESTOS!$B$21,0)*SUPUESTOS!$B$5*SUPUESTOS!$B$14+SUPUESTOS!$B$17</f>
        <v/>
      </c>
      <c r="E10" s="43">
        <f>C10-D10-SUPUESTOS!$B$9-SUPUESTOS!$B$12</f>
        <v/>
      </c>
      <c r="F10" s="43">
        <f>C10-D10-$B$4-$B$5</f>
        <v/>
      </c>
      <c r="G10" s="36">
        <f>B10*E10+(1-B10)*F10</f>
        <v/>
      </c>
      <c r="H10">
        <f>IF(E10&gt;=SUPUESTOS!$B$25,"SI","NO")</f>
        <v/>
      </c>
    </row>
    <row r="11">
      <c r="A11" s="41" t="n">
        <v>500</v>
      </c>
      <c r="B11" s="42">
        <f>A11/SUPUESTOS!$B$4</f>
        <v/>
      </c>
      <c r="C11" s="43">
        <f>ROUND(A11*(1-SUPUESTOS!$B$20-SUPUESTOS!$B$21),0)*SUPUESTOS!$B$5+ROUND(A11*SUPUESTOS!$B$21,0)*SUPUESTOS!$B$5+(A11-ROUND(A11*(1-SUPUESTOS!$B$20-SUPUESTOS!$B$21),0)-ROUND(A11*SUPUESTOS!$B$21,0))*SUPUESTOS!$B$8</f>
        <v/>
      </c>
      <c r="D11" s="43">
        <f>SUPUESTOS!$B$13+ROUND(A11*SUPUESTOS!$B$21,0)*SUPUESTOS!$B$5*SUPUESTOS!$B$14+SUPUESTOS!$B$17</f>
        <v/>
      </c>
      <c r="E11" s="43">
        <f>C11-D11-SUPUESTOS!$B$9-SUPUESTOS!$B$12</f>
        <v/>
      </c>
      <c r="F11" s="43">
        <f>C11-D11-$B$4-$B$5</f>
        <v/>
      </c>
      <c r="G11" s="36">
        <f>B11*E11+(1-B11)*F11</f>
        <v/>
      </c>
      <c r="H11">
        <f>IF(E11&gt;=SUPUESTOS!$B$25,"SI","NO")</f>
        <v/>
      </c>
    </row>
    <row r="12">
      <c r="A12" s="41" t="n">
        <v>600</v>
      </c>
      <c r="B12" s="42">
        <f>A12/SUPUESTOS!$B$4</f>
        <v/>
      </c>
      <c r="C12" s="43">
        <f>ROUND(A12*(1-SUPUESTOS!$B$20-SUPUESTOS!$B$21),0)*SUPUESTOS!$B$5+ROUND(A12*SUPUESTOS!$B$21,0)*SUPUESTOS!$B$5+(A12-ROUND(A12*(1-SUPUESTOS!$B$20-SUPUESTOS!$B$21),0)-ROUND(A12*SUPUESTOS!$B$21,0))*SUPUESTOS!$B$8</f>
        <v/>
      </c>
      <c r="D12" s="43">
        <f>SUPUESTOS!$B$13+ROUND(A12*SUPUESTOS!$B$21,0)*SUPUESTOS!$B$5*SUPUESTOS!$B$14+SUPUESTOS!$B$17</f>
        <v/>
      </c>
      <c r="E12" s="43">
        <f>C12-D12-SUPUESTOS!$B$9-SUPUESTOS!$B$12</f>
        <v/>
      </c>
      <c r="F12" s="43">
        <f>C12-D12-$B$4-$B$5</f>
        <v/>
      </c>
      <c r="G12" s="36">
        <f>B12*E12+(1-B12)*F12</f>
        <v/>
      </c>
      <c r="H12">
        <f>IF(E12&gt;=SUPUESTOS!$B$25,"SI","NO")</f>
        <v/>
      </c>
    </row>
    <row r="13">
      <c r="A13" s="44" t="n">
        <v>650</v>
      </c>
      <c r="B13" s="45">
        <f>A13/SUPUESTOS!$B$4</f>
        <v/>
      </c>
      <c r="C13" s="46">
        <f>ROUND(A13*(1-SUPUESTOS!$B$20-SUPUESTOS!$B$21),0)*SUPUESTOS!$B$5+ROUND(A13*SUPUESTOS!$B$21,0)*SUPUESTOS!$B$5+(A13-ROUND(A13*(1-SUPUESTOS!$B$20-SUPUESTOS!$B$21),0)-ROUND(A13*SUPUESTOS!$B$21,0))*SUPUESTOS!$B$8</f>
        <v/>
      </c>
      <c r="D13" s="46">
        <f>SUPUESTOS!$B$13+ROUND(A13*SUPUESTOS!$B$21,0)*SUPUESTOS!$B$5*SUPUESTOS!$B$14+SUPUESTOS!$B$17</f>
        <v/>
      </c>
      <c r="E13" s="46">
        <f>C13-D13-SUPUESTOS!$B$9-SUPUESTOS!$B$12</f>
        <v/>
      </c>
      <c r="F13" s="46">
        <f>C13-D13-$B$4-$B$5</f>
        <v/>
      </c>
      <c r="G13" s="47">
        <f>B13*E13+(1-B13)*F13</f>
        <v/>
      </c>
      <c r="H13" s="48">
        <f>IF(E13&gt;=SUPUESTOS!$B$25,"SI","NO")</f>
        <v/>
      </c>
    </row>
    <row r="14">
      <c r="A14" s="41" t="n">
        <v>700</v>
      </c>
      <c r="B14" s="42">
        <f>A14/SUPUESTOS!$B$4</f>
        <v/>
      </c>
      <c r="C14" s="43">
        <f>ROUND(A14*(1-SUPUESTOS!$B$20-SUPUESTOS!$B$21),0)*SUPUESTOS!$B$5+ROUND(A14*SUPUESTOS!$B$21,0)*SUPUESTOS!$B$5+(A14-ROUND(A14*(1-SUPUESTOS!$B$20-SUPUESTOS!$B$21),0)-ROUND(A14*SUPUESTOS!$B$21,0))*SUPUESTOS!$B$8</f>
        <v/>
      </c>
      <c r="D14" s="43">
        <f>SUPUESTOS!$B$13+ROUND(A14*SUPUESTOS!$B$21,0)*SUPUESTOS!$B$5*SUPUESTOS!$B$14+SUPUESTOS!$B$17</f>
        <v/>
      </c>
      <c r="E14" s="43">
        <f>C14-D14-SUPUESTOS!$B$9-SUPUESTOS!$B$12</f>
        <v/>
      </c>
      <c r="F14" s="43">
        <f>C14-D14-$B$4-$B$5</f>
        <v/>
      </c>
      <c r="G14" s="36">
        <f>B14*E14+(1-B14)*F14</f>
        <v/>
      </c>
      <c r="H14">
        <f>IF(E14&gt;=SUPUESTOS!$B$25,"SI","NO")</f>
        <v/>
      </c>
    </row>
    <row r="15">
      <c r="A15" s="41" t="n">
        <v>750</v>
      </c>
      <c r="B15" s="42">
        <f>A15/SUPUESTOS!$B$4</f>
        <v/>
      </c>
      <c r="C15" s="43">
        <f>ROUND(A15*(1-SUPUESTOS!$B$20-SUPUESTOS!$B$21),0)*SUPUESTOS!$B$5+ROUND(A15*SUPUESTOS!$B$21,0)*SUPUESTOS!$B$5+(A15-ROUND(A15*(1-SUPUESTOS!$B$20-SUPUESTOS!$B$21),0)-ROUND(A15*SUPUESTOS!$B$21,0))*SUPUESTOS!$B$8</f>
        <v/>
      </c>
      <c r="D15" s="43">
        <f>SUPUESTOS!$B$13+ROUND(A15*SUPUESTOS!$B$21,0)*SUPUESTOS!$B$5*SUPUESTOS!$B$14+SUPUESTOS!$B$17</f>
        <v/>
      </c>
      <c r="E15" s="43">
        <f>C15-D15-SUPUESTOS!$B$9-SUPUESTOS!$B$12</f>
        <v/>
      </c>
      <c r="F15" s="43">
        <f>C15-D15-$B$4-$B$5</f>
        <v/>
      </c>
      <c r="G15" s="36">
        <f>B15*E15+(1-B15)*F15</f>
        <v/>
      </c>
      <c r="H15">
        <f>IF(E15&gt;=SUPUESTOS!$B$25,"SI","NO")</f>
        <v/>
      </c>
    </row>
    <row r="16">
      <c r="A16" s="44" t="n">
        <v>800</v>
      </c>
      <c r="B16" s="45">
        <f>A16/SUPUESTOS!$B$4</f>
        <v/>
      </c>
      <c r="C16" s="46">
        <f>ROUND(A16*(1-SUPUESTOS!$B$20-SUPUESTOS!$B$21),0)*SUPUESTOS!$B$5+ROUND(A16*SUPUESTOS!$B$21,0)*SUPUESTOS!$B$5+(A16-ROUND(A16*(1-SUPUESTOS!$B$20-SUPUESTOS!$B$21),0)-ROUND(A16*SUPUESTOS!$B$21,0))*SUPUESTOS!$B$8</f>
        <v/>
      </c>
      <c r="D16" s="46">
        <f>SUPUESTOS!$B$13+ROUND(A16*SUPUESTOS!$B$21,0)*SUPUESTOS!$B$5*SUPUESTOS!$B$14+SUPUESTOS!$B$17</f>
        <v/>
      </c>
      <c r="E16" s="46">
        <f>C16-D16-SUPUESTOS!$B$9-SUPUESTOS!$B$12</f>
        <v/>
      </c>
      <c r="F16" s="46">
        <f>C16-D16-$B$4-$B$5</f>
        <v/>
      </c>
      <c r="G16" s="47">
        <f>B16*E16+(1-B16)*F16</f>
        <v/>
      </c>
      <c r="H16" s="48">
        <f>IF(E16&gt;=SUPUESTOS!$B$25,"SI","NO")</f>
        <v/>
      </c>
    </row>
    <row r="17">
      <c r="A17" s="44" t="n">
        <v>860</v>
      </c>
      <c r="B17" s="45">
        <f>A17/SUPUESTOS!$B$4</f>
        <v/>
      </c>
      <c r="C17" s="46">
        <f>ROUND(A17*(1-SUPUESTOS!$B$20-SUPUESTOS!$B$21),0)*SUPUESTOS!$B$5+ROUND(A17*SUPUESTOS!$B$21,0)*SUPUESTOS!$B$5+(A17-ROUND(A17*(1-SUPUESTOS!$B$20-SUPUESTOS!$B$21),0)-ROUND(A17*SUPUESTOS!$B$21,0))*SUPUESTOS!$B$8</f>
        <v/>
      </c>
      <c r="D17" s="46">
        <f>SUPUESTOS!$B$13+ROUND(A17*SUPUESTOS!$B$21,0)*SUPUESTOS!$B$5*SUPUESTOS!$B$14+SUPUESTOS!$B$17</f>
        <v/>
      </c>
      <c r="E17" s="46">
        <f>C17-D17-SUPUESTOS!$B$9-SUPUESTOS!$B$12</f>
        <v/>
      </c>
      <c r="F17" s="46">
        <f>C17-D17-$B$4-$B$5</f>
        <v/>
      </c>
      <c r="G17" s="47">
        <f>B17*E17+(1-B17)*F17</f>
        <v/>
      </c>
      <c r="H17" s="48">
        <f>IF(E17&gt;=SUPUESTOS!$B$25,"SI","NO")</f>
        <v/>
      </c>
    </row>
    <row r="18">
      <c r="A18" s="41" t="n">
        <v>900</v>
      </c>
      <c r="B18" s="42">
        <f>A18/SUPUESTOS!$B$4</f>
        <v/>
      </c>
      <c r="C18" s="43">
        <f>ROUND(A18*(1-SUPUESTOS!$B$20-SUPUESTOS!$B$21),0)*SUPUESTOS!$B$5+ROUND(A18*SUPUESTOS!$B$21,0)*SUPUESTOS!$B$5+(A18-ROUND(A18*(1-SUPUESTOS!$B$20-SUPUESTOS!$B$21),0)-ROUND(A18*SUPUESTOS!$B$21,0))*SUPUESTOS!$B$8</f>
        <v/>
      </c>
      <c r="D18" s="43">
        <f>SUPUESTOS!$B$13+ROUND(A18*SUPUESTOS!$B$21,0)*SUPUESTOS!$B$5*SUPUESTOS!$B$14+SUPUESTOS!$B$17</f>
        <v/>
      </c>
      <c r="E18" s="43">
        <f>C18-D18-SUPUESTOS!$B$9-SUPUESTOS!$B$12</f>
        <v/>
      </c>
      <c r="F18" s="43">
        <f>C18-D18-$B$4-$B$5</f>
        <v/>
      </c>
      <c r="G18" s="36">
        <f>B18*E18+(1-B18)*F18</f>
        <v/>
      </c>
      <c r="H18">
        <f>IF(E18&gt;=SUPUESTOS!$B$25,"SI","NO")</f>
        <v/>
      </c>
    </row>
    <row r="19">
      <c r="A19" s="41" t="n">
        <v>1000</v>
      </c>
      <c r="B19" s="42">
        <f>A19/SUPUESTOS!$B$4</f>
        <v/>
      </c>
      <c r="C19" s="43">
        <f>ROUND(A19*(1-SUPUESTOS!$B$20-SUPUESTOS!$B$21),0)*SUPUESTOS!$B$5+ROUND(A19*SUPUESTOS!$B$21,0)*SUPUESTOS!$B$5+(A19-ROUND(A19*(1-SUPUESTOS!$B$20-SUPUESTOS!$B$21),0)-ROUND(A19*SUPUESTOS!$B$21,0))*SUPUESTOS!$B$8</f>
        <v/>
      </c>
      <c r="D19" s="43">
        <f>SUPUESTOS!$B$13+ROUND(A19*SUPUESTOS!$B$21,0)*SUPUESTOS!$B$5*SUPUESTOS!$B$14+SUPUESTOS!$B$17</f>
        <v/>
      </c>
      <c r="E19" s="43">
        <f>C19-D19-SUPUESTOS!$B$9-SUPUESTOS!$B$12</f>
        <v/>
      </c>
      <c r="F19" s="43">
        <f>C19-D19-$B$4-$B$5</f>
        <v/>
      </c>
      <c r="G19" s="36">
        <f>B19*E19+(1-B19)*F19</f>
        <v/>
      </c>
      <c r="H19">
        <f>IF(E19&gt;=SUPUESTOS!$B$25,"SI","NO")</f>
        <v/>
      </c>
    </row>
    <row r="21" ht="32" customHeight="1">
      <c r="A21" s="38" t="inlineStr">
        <is>
          <t>Cómo leerla: la regla NO cambia el caso malo. Si el número está vendido, el neto es exactamente el mismo de la regla anterior (columna E = ESCENARIOS!P). Lo que agrega es una probabilidad (1 - columna B) de quedarse con la columna F.</t>
        </is>
      </c>
    </row>
    <row r="22" ht="32" customHeight="1">
      <c r="A22" s="38" t="inlineStr">
        <is>
          <t>Para tener COP 3.000.000 seguros siguen haciendo falta ~860 vendidos (columna H). Pérdida solo si se venden menos de ~360 Y el número cae en uno vendido.</t>
        </is>
      </c>
    </row>
    <row r="23" ht="32" customHeight="1">
      <c r="A23" s="38" t="inlineStr">
        <is>
          <t>Filas resaltadas: 650 = centro estimado si el sorteo fuera el 21 nov · 800 = centro estimado si fuera el 19 dic · 860 = piso. Con el sorteo del 5 dic (decidido el 2026-10-06) el centro estimado es ~700 (fila 700). Las cifras usan la mezcla de SUPUESTOS.</t>
        </is>
      </c>
    </row>
    <row r="24" ht="32" customHeight="1">
      <c r="A24" s="38" t="inlineStr">
        <is>
          <t>Fuente: 02_Decisiones/registro-de-decisiones.md (decisión 37) y 02_Decisiones/analisis-premio-y-tiempo.md. Creada el 2026-10-06.</t>
        </is>
      </c>
    </row>
  </sheetData>
  <mergeCells count="8">
    <mergeCell ref="A21:H21"/>
    <mergeCell ref="C5:H5"/>
    <mergeCell ref="A2:H2"/>
    <mergeCell ref="A24:H24"/>
    <mergeCell ref="C4:H4"/>
    <mergeCell ref="A1:H1"/>
    <mergeCell ref="A23:H2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0A6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4" customWidth="1" min="4" max="4"/>
    <col width="34" customWidth="1" min="5" max="5"/>
    <col width="56" customWidth="1" min="6" max="6"/>
  </cols>
  <sheetData>
    <row r="1" ht="24" customHeight="1">
      <c r="A1" s="1" t="inlineStr">
        <is>
          <t>CASOS DE PRUEBA - verificacion del modelo (plan maestro, seccion Verificacion)</t>
        </is>
      </c>
    </row>
    <row r="2">
      <c r="A2" s="18" t="inlineStr">
        <is>
          <t>Si alguna fila dice FALLA, el modelo quedo mal y no se puede usar para decidir nada.</t>
        </is>
      </c>
    </row>
    <row r="4">
      <c r="A4" s="5" t="inlineStr">
        <is>
          <t>Caso</t>
        </is>
      </c>
      <c r="B4" s="5" t="inlineStr">
        <is>
          <t>Resultado del modelo</t>
        </is>
      </c>
      <c r="C4" s="5" t="inlineStr">
        <is>
          <t>Esperado</t>
        </is>
      </c>
      <c r="D4" s="5" t="inlineStr">
        <is>
          <t>Diferencia</t>
        </is>
      </c>
      <c r="E4" s="5" t="inlineStr">
        <is>
          <t>Veredicto</t>
        </is>
      </c>
      <c r="F4" s="5" t="inlineStr">
        <is>
          <t>Cómo se calcula</t>
        </is>
      </c>
    </row>
    <row r="5">
      <c r="A5" s="30" t="inlineStr">
        <is>
          <t>859 vendidos, sin ventas de tiendas, sin NZ -&gt; neto &gt;= COP 3.000.000</t>
        </is>
      </c>
      <c r="B5" s="22">
        <f>859*SUPUESTOS!$B$5-SUPUESTOS!$B$9-SUPUESTOS!$B$12-SUPUESTOS!$B$13</f>
        <v/>
      </c>
      <c r="C5" s="22" t="n">
        <v>3004000</v>
      </c>
      <c r="D5" s="22">
        <f>B5-C5</f>
        <v/>
      </c>
      <c r="E5" s="31">
        <f>IF(AND(B5&gt;=SUPUESTOS!$B$25,ABS(D5)&lt;1),"PASA","FALLA")</f>
        <v/>
      </c>
      <c r="F5" s="9" t="inlineStr">
        <is>
          <t>859 x 6.000 = 5.154.000, menos premio 2.000.000, premio del vendedor 100.000 y varios 50.000.</t>
        </is>
      </c>
    </row>
    <row r="6">
      <c r="A6" s="30" t="inlineStr">
        <is>
          <t>700 vendidos, sin ventas de tiendas, sin NZ -&gt; aprox. COP 2.050.000</t>
        </is>
      </c>
      <c r="B6" s="22">
        <f>700*SUPUESTOS!$B$5-SUPUESTOS!$B$9-SUPUESTOS!$B$12-SUPUESTOS!$B$13</f>
        <v/>
      </c>
      <c r="C6" s="22" t="n">
        <v>2050000</v>
      </c>
      <c r="D6" s="22">
        <f>B6-C6</f>
        <v/>
      </c>
      <c r="E6" s="31">
        <f>IF(ABS(D6)&lt;1,"PASA","FALLA")</f>
        <v/>
      </c>
      <c r="F6" s="9" t="inlineStr">
        <is>
          <t>700 x 6.000 = 4.200.000, menos 2.150.000 de costos fijos.</t>
        </is>
      </c>
    </row>
    <row r="7">
      <c r="A7" s="30" t="inlineStr">
        <is>
          <t>100 números de NZ se convierten a la tasa escogida</t>
        </is>
      </c>
      <c r="B7" s="22">
        <f>100*SUPUESTOS!$B$6*SUPUESTOS!$B$7</f>
        <v/>
      </c>
      <c r="C7" s="22" t="n">
        <v>737200</v>
      </c>
      <c r="D7" s="22">
        <f>B7-C7</f>
        <v/>
      </c>
      <c r="E7" s="31">
        <f>IF(ABS(D7)&lt;1,"PASA","FALLA")</f>
        <v/>
      </c>
      <c r="F7" s="9" t="inlineStr">
        <is>
          <t>100 x NZD 4 x 1.843 = COP 737.200 (contra 600.000 si fueran al precio colombiano).</t>
        </is>
      </c>
    </row>
    <row r="8">
      <c r="A8" s="30" t="inlineStr">
        <is>
          <t>Un número de NZ en pesos (aprox. COP 7.370)</t>
        </is>
      </c>
      <c r="B8" s="22">
        <f>SUPUESTOS!$B$6*SUPUESTOS!$B$7</f>
        <v/>
      </c>
      <c r="C8" s="22" t="n">
        <v>7372</v>
      </c>
      <c r="D8" s="22">
        <f>B8-C8</f>
        <v/>
      </c>
      <c r="E8" s="31">
        <f>IF(ABS(D8)&lt;1,"PASA","FALLA")</f>
        <v/>
      </c>
      <c r="F8" s="9" t="inlineStr">
        <is>
          <t>NZD 4 x 1.843. El plan dice aprox. 7.370; el modelo da 7.372 con la tasa redondeada.</t>
        </is>
      </c>
    </row>
    <row r="9">
      <c r="A9" s="30" t="inlineStr">
        <is>
          <t>Premio de NZD 1.000 en pesos vs minimo de COP 1.900.000</t>
        </is>
      </c>
      <c r="B9" s="22">
        <f>SUPUESTOS!$B$10*SUPUESTOS!$B$7</f>
        <v/>
      </c>
      <c r="C9" s="22" t="n">
        <v>1843000</v>
      </c>
      <c r="D9" s="22">
        <f>B9-C9</f>
        <v/>
      </c>
      <c r="E9" s="31">
        <f>IF(ABS(D9)&lt;1,IF(B9&lt;SUPUESTOS!$B$11,"PASA (confirma que falta completar)","PASA"),"FALLA")</f>
        <v/>
      </c>
      <c r="F9" s="9" t="inlineStr">
        <is>
          <t>NZD 1.000 x 1.843 = 1.843.000, POR DEBAJO del minimo de 1.900.000: Sofia completa ~NZD 31 (decision 25).</t>
        </is>
      </c>
    </row>
    <row r="10">
      <c r="A10" s="30" t="inlineStr">
        <is>
          <t>650 vendidos, número de la Boyacá VENDIDO (paga 2M), sin tiendas ni NZ -&gt; COP 1.750.000</t>
        </is>
      </c>
      <c r="B10" s="22">
        <f>650*SUPUESTOS!$B$5-SUPUESTOS!$B$9-SUPUESTOS!$B$12-SUPUESTOS!$B$13</f>
        <v/>
      </c>
      <c r="C10" s="22" t="n">
        <v>1750000</v>
      </c>
      <c r="D10" s="22">
        <f>B10-C10</f>
        <v/>
      </c>
      <c r="E10" s="31">
        <f>IF(ABS(D10)&lt;1,"PASA","FALLA")</f>
        <v/>
      </c>
      <c r="F10" s="9" t="inlineStr">
        <is>
          <t>Decisión 37, caso malo: 650 x 6.000 = 3.900.000, menos premio 2.000.000, premio del vendedor 100.000 y varios 50.000. Igual que con la regla anterior.</t>
        </is>
      </c>
    </row>
    <row r="11">
      <c r="A11" s="30" t="inlineStr">
        <is>
          <t>650 vendidos, número SIN VENDER (consolación), sin tiendas ni NZ -&gt; COP 3.540.000</t>
        </is>
      </c>
      <c r="B11" s="22">
        <f>650*SUPUESTOS!$B$5-'REGLA-PREMIO'!$B$4-'REGLA-PREMIO'!$B$5-SUPUESTOS!$B$13</f>
        <v/>
      </c>
      <c r="C11" s="22" t="n">
        <v>3540000</v>
      </c>
      <c r="D11" s="22">
        <f>B11-C11</f>
        <v/>
      </c>
      <c r="E11" s="31">
        <f>IF(ABS(D11)&lt;1,"PASA","FALLA")</f>
        <v/>
      </c>
      <c r="F11" s="9" t="inlineStr">
        <is>
          <t>3.900.000 menos consolación 210.000, premio del vendedor 100.000 y varios 50.000 (decisión 37: el vendedor cobra también con la consolación).</t>
        </is>
      </c>
    </row>
    <row r="12">
      <c r="A12" s="30" t="inlineStr">
        <is>
          <t>Neto ESPERADO con 800 vendidos, sin tiendas ni NZ -&gt; COP 3.008.000</t>
        </is>
      </c>
      <c r="B12" s="22">
        <f>0.8*(800*SUPUESTOS!$B$5-SUPUESTOS!$B$9-SUPUESTOS!$B$12-SUPUESTOS!$B$13)+0.2*(800*SUPUESTOS!$B$5-'REGLA-PREMIO'!$B$4-'REGLA-PREMIO'!$B$5-SUPUESTOS!$B$13)</f>
        <v/>
      </c>
      <c r="C12" s="22" t="n">
        <v>3008000</v>
      </c>
      <c r="D12" s="22">
        <f>B12-C12</f>
        <v/>
      </c>
      <c r="E12" s="31">
        <f>IF(ABS(D12)&lt;1,"PASA","FALLA")</f>
        <v/>
      </c>
      <c r="F12" s="9" t="inlineStr">
        <is>
          <t>80% de probabilidad de pagar los 2M (neto 2.650.000) y 20% de consolación (neto 4.440.000).</t>
        </is>
      </c>
    </row>
    <row r="13">
      <c r="A13" s="30" t="inlineStr">
        <is>
          <t>REGLA-PREMIO y ESCENARIOS dan el mismo caso malo con 650 vendidos (con la mezcla)</t>
        </is>
      </c>
      <c r="B13" s="22">
        <f>'REGLA-PREMIO'!E13-ESCENARIOS!P8</f>
        <v/>
      </c>
      <c r="C13" s="22" t="n">
        <v>0</v>
      </c>
      <c r="D13" s="22">
        <f>B13-C13</f>
        <v/>
      </c>
      <c r="E13" s="31">
        <f>IF(ABS(D13)&lt;1,"PASA","FALLA")</f>
        <v/>
      </c>
      <c r="F13" s="9" t="inlineStr">
        <is>
          <t>Si el número está vendido, la regla nueva tiene que dar exactamente lo mismo que la anterior. Diferencia esperada: 0.</t>
        </is>
      </c>
    </row>
    <row r="15">
      <c r="A15" s="32" t="inlineStr">
        <is>
          <t>RESULTADO GENERAL</t>
        </is>
      </c>
      <c r="B15" s="33">
        <f>IF(COUNTIF(E5:E13,"FALLA*")&gt;0,"HAY FALLAS - revisar","TODOS PASAN")</f>
        <v/>
      </c>
    </row>
    <row r="17" ht="45" customHeight="1">
      <c r="A17" s="38" t="inlineStr">
        <is>
          <t>Nota sobre el premio al vendedor: en los casos 1 y 2 se cuenta siempre, aunque la decision 9 solo lo paga si el vendedor del numero ganador le vendio a mas de 25 personas distintas. Contarlo siempre es el supuesto prudente, y es el que reproduce las cifras del plan maestro.</t>
        </is>
      </c>
    </row>
  </sheetData>
  <mergeCells count="2">
    <mergeCell ref="A1:F1"/>
    <mergeCell ref="A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6F5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52" customWidth="1" min="5" max="5"/>
  </cols>
  <sheetData>
    <row r="1" ht="24" customHeight="1">
      <c r="A1" s="1" t="inlineStr">
        <is>
          <t>CAJAS - control de la plata real</t>
        </is>
      </c>
    </row>
    <row r="2">
      <c r="A2" s="18" t="inlineStr">
        <is>
          <t>Se llena en la conciliacion de las 10:30 p.m. La reserva del premio se completa PRIMERO y no se toca.</t>
        </is>
      </c>
    </row>
    <row r="4">
      <c r="A4" s="5" t="inlineStr">
        <is>
          <t>Caja</t>
        </is>
      </c>
      <c r="B4" s="5" t="inlineStr">
        <is>
          <t>Moneda</t>
        </is>
      </c>
      <c r="C4" s="5" t="inlineStr">
        <is>
          <t>Saldo</t>
        </is>
      </c>
      <c r="D4" s="5" t="inlineStr">
        <is>
          <t>En COP</t>
        </is>
      </c>
      <c r="E4" s="5" t="inlineStr">
        <is>
          <t>Nota</t>
        </is>
      </c>
    </row>
    <row r="5">
      <c r="A5" s="6" t="inlineStr">
        <is>
          <t>Reserva del premio (apartada)</t>
        </is>
      </c>
      <c r="B5" s="8" t="inlineStr">
        <is>
          <t>COP</t>
        </is>
      </c>
      <c r="C5" s="10" t="n">
        <v>0</v>
      </c>
      <c r="D5" s="12">
        <f>C5</f>
        <v/>
      </c>
      <c r="E5" s="9" t="inlineStr">
        <is>
          <t>Los primeros COP 2.000.000. Cajita aparte. No se toca nunca.</t>
        </is>
      </c>
    </row>
    <row r="6">
      <c r="A6" s="6" t="inlineStr">
        <is>
          <t>Nu (llave Bre-B @sbg884)</t>
        </is>
      </c>
      <c r="B6" s="8" t="inlineStr">
        <is>
          <t>COP</t>
        </is>
      </c>
      <c r="C6" s="10" t="n">
        <v>0</v>
      </c>
      <c r="D6" s="12">
        <f>C6</f>
        <v/>
      </c>
      <c r="E6" s="9" t="inlineStr">
        <is>
          <t>Solo lo verificado dentro de la app.</t>
        </is>
      </c>
    </row>
    <row r="7">
      <c r="A7" s="6" t="inlineStr">
        <is>
          <t>Efectivo en mano</t>
        </is>
      </c>
      <c r="B7" s="8" t="inlineStr">
        <is>
          <t>COP</t>
        </is>
      </c>
      <c r="C7" s="10" t="n">
        <v>0</v>
      </c>
      <c r="D7" s="12">
        <f>C7</f>
        <v/>
      </c>
      <c r="E7" s="9" t="inlineStr">
        <is>
          <t>Anotado el mismo dia en la libreta. Nunca se publica cuanto hay.</t>
        </is>
      </c>
    </row>
    <row r="8">
      <c r="A8" s="6" t="inlineStr">
        <is>
          <t>Pendiente de vendedores (efectivo)</t>
        </is>
      </c>
      <c r="B8" s="8" t="inlineStr">
        <is>
          <t>COP</t>
        </is>
      </c>
      <c r="C8" s="10" t="n">
        <v>0</v>
      </c>
      <c r="D8" s="12">
        <f>C8</f>
        <v/>
      </c>
      <c r="E8" s="9" t="inlineStr">
        <is>
          <t>Ruta 2: tienen 48 h para entregar.</t>
        </is>
      </c>
    </row>
    <row r="9">
      <c r="A9" s="6" t="inlineStr">
        <is>
          <t>Recaudado en NZ (cuenta de Sofia)</t>
        </is>
      </c>
      <c r="B9" s="8" t="inlineStr">
        <is>
          <t>NZD</t>
        </is>
      </c>
      <c r="C9" s="11" t="n">
        <v>0</v>
      </c>
      <c r="D9" s="12">
        <f>C9*SUPUESTOS!$B$7</f>
        <v/>
      </c>
      <c r="E9" s="9" t="inlineStr">
        <is>
          <t>Verificado por Sofia en su propia app.</t>
        </is>
      </c>
    </row>
    <row r="10">
      <c r="A10" s="6" t="inlineStr">
        <is>
          <t>Adelanto de Sofia (si gana en NZ)</t>
        </is>
      </c>
      <c r="B10" s="8" t="inlineStr">
        <is>
          <t>NZD</t>
        </is>
      </c>
      <c r="C10" s="11" t="n">
        <v>0</v>
      </c>
      <c r="D10" s="12">
        <f>C10*SUPUESTOS!$B$7</f>
        <v/>
      </c>
      <c r="E10" s="9" t="inlineStr">
        <is>
          <t>Se le devuelve en pesos por Bre-B a su cuenta colombiana.</t>
        </is>
      </c>
    </row>
    <row r="12">
      <c r="A12" s="32" t="inlineStr">
        <is>
          <t>TOTAL EN CAJA (COP)</t>
        </is>
      </c>
      <c r="D12" s="34">
        <f>SUM(D5:D10)</f>
        <v/>
      </c>
    </row>
    <row r="14">
      <c r="A14" s="32" t="inlineStr">
        <is>
          <t>Reserva del premio completa?</t>
        </is>
      </c>
      <c r="D14" s="32">
        <f>IF(C5&gt;=SUPUESTOS!$B$9,"SI","NO - faltan "&amp;TEXT(SUPUESTOS!$B$9-C5,"#,##0")&amp;" COP")</f>
        <v/>
      </c>
    </row>
    <row r="16">
      <c r="A16" s="27" t="inlineStr">
        <is>
          <t>CONCILIACION DIARIA (10:30 p.m.)</t>
        </is>
      </c>
    </row>
    <row r="18">
      <c r="A18" s="6" t="inlineStr">
        <is>
          <t>Números PAGADO en el Sheet (Colombia)</t>
        </is>
      </c>
      <c r="B18" s="8" t="n"/>
      <c r="C18" s="7" t="n">
        <v>0</v>
      </c>
      <c r="D18" s="12">
        <f>C18*SUPUESTOS!$B$5</f>
        <v/>
      </c>
    </row>
    <row r="19">
      <c r="A19" s="6" t="inlineStr">
        <is>
          <t>Números PAGADO en el Sheet (NZ)</t>
        </is>
      </c>
      <c r="B19" s="8" t="n"/>
      <c r="C19" s="7" t="n">
        <v>0</v>
      </c>
      <c r="D19" s="12">
        <f>C19*SUPUESTOS!$B$8</f>
        <v/>
      </c>
    </row>
    <row r="20">
      <c r="A20" s="6" t="inlineStr">
        <is>
          <t>Esperado en caja</t>
        </is>
      </c>
      <c r="B20" s="8" t="n"/>
      <c r="C20" s="8" t="n"/>
      <c r="D20" s="12">
        <f>D18+D19</f>
        <v/>
      </c>
    </row>
    <row r="21">
      <c r="A21" s="6" t="inlineStr">
        <is>
          <t>Real en caja (fila 12)</t>
        </is>
      </c>
      <c r="B21" s="8" t="n"/>
      <c r="C21" s="8" t="n"/>
      <c r="D21" s="12">
        <f>D12</f>
        <v/>
      </c>
    </row>
    <row r="22">
      <c r="A22" s="6" t="inlineStr">
        <is>
          <t>Diferencia</t>
        </is>
      </c>
      <c r="B22" s="8" t="n"/>
      <c r="C22" s="8" t="n"/>
      <c r="D22" s="12">
        <f>D21-D20</f>
        <v/>
      </c>
    </row>
    <row r="23">
      <c r="A23" s="18" t="inlineStr">
        <is>
          <t>Si la diferencia no es cero, el dia no se cierra hasta encontrarla. Lo mas comun: un pantallazo que se tomo por pago, o un numero apartado dos veces.</t>
        </is>
      </c>
    </row>
  </sheetData>
  <mergeCells count="3">
    <mergeCell ref="A16:E16"/>
    <mergeCell ref="A1:E1"/>
    <mergeCell ref="A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6F50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20" customWidth="1" min="5" max="5"/>
    <col width="14" customWidth="1" min="6" max="6"/>
    <col width="20" customWidth="1" min="7" max="7"/>
    <col width="22" customWidth="1" min="8" max="8"/>
  </cols>
  <sheetData>
    <row r="1" ht="24" customHeight="1">
      <c r="A1" s="1" t="inlineStr">
        <is>
          <t>VENDEDORES - numeros vendidos y umbral de 25 compradores distintos</t>
        </is>
      </c>
    </row>
    <row r="2">
      <c r="A2" s="18" t="inlineStr">
        <is>
          <t>El premio de COP 100.000 se paga solo si el vendedor le vendio a MAS de 25 personas distintas Y uno de sus compradores gana (decision 9). No aplica a lo que venda Santiago.</t>
        </is>
      </c>
    </row>
    <row r="4" ht="30" customHeight="1">
      <c r="A4" s="19" t="inlineStr">
        <is>
          <t>Nombre</t>
        </is>
      </c>
      <c r="B4" s="19" t="inlineStr">
        <is>
          <t>Código (link ?v=)</t>
        </is>
      </c>
      <c r="C4" s="19" t="inlineStr">
        <is>
          <t>Tipo</t>
        </is>
      </c>
      <c r="D4" s="19" t="inlineStr">
        <is>
          <t>Números vendidos</t>
        </is>
      </c>
      <c r="E4" s="19" t="inlineStr">
        <is>
          <t>Compradores distintos</t>
        </is>
      </c>
      <c r="F4" s="19" t="inlineStr">
        <is>
          <t>Pasó de 25?</t>
        </is>
      </c>
      <c r="G4" s="19" t="inlineStr">
        <is>
          <t>Plata pendiente (COP)</t>
        </is>
      </c>
      <c r="H4" s="19" t="inlineStr">
        <is>
          <t>Comisión a pagar (COP)</t>
        </is>
      </c>
    </row>
    <row r="5">
      <c r="A5" s="14" t="n"/>
      <c r="B5" s="14" t="n"/>
      <c r="C5" s="14" t="n"/>
      <c r="D5" s="7" t="n"/>
      <c r="E5" s="7" t="n"/>
      <c r="F5" s="8">
        <f>IF(E5="","",IF(E5&gt;25,"SI","no"))</f>
        <v/>
      </c>
      <c r="G5" s="10" t="n"/>
      <c r="H5" s="22">
        <f>IF(C5="TIENDA",D5*SUPUESTOS!$B$5*SUPUESTOS!$B$14,0)</f>
        <v/>
      </c>
    </row>
    <row r="6">
      <c r="A6" s="14" t="n"/>
      <c r="B6" s="14" t="n"/>
      <c r="C6" s="14" t="n"/>
      <c r="D6" s="7" t="n"/>
      <c r="E6" s="7" t="n"/>
      <c r="F6" s="8">
        <f>IF(E6="","",IF(E6&gt;25,"SI","no"))</f>
        <v/>
      </c>
      <c r="G6" s="10" t="n"/>
      <c r="H6" s="22">
        <f>IF(C6="TIENDA",D6*SUPUESTOS!$B$5*SUPUESTOS!$B$14,0)</f>
        <v/>
      </c>
    </row>
    <row r="7">
      <c r="A7" s="14" t="n"/>
      <c r="B7" s="14" t="n"/>
      <c r="C7" s="14" t="n"/>
      <c r="D7" s="7" t="n"/>
      <c r="E7" s="7" t="n"/>
      <c r="F7" s="8">
        <f>IF(E7="","",IF(E7&gt;25,"SI","no"))</f>
        <v/>
      </c>
      <c r="G7" s="10" t="n"/>
      <c r="H7" s="22">
        <f>IF(C7="TIENDA",D7*SUPUESTOS!$B$5*SUPUESTOS!$B$14,0)</f>
        <v/>
      </c>
    </row>
    <row r="8">
      <c r="A8" s="14" t="n"/>
      <c r="B8" s="14" t="n"/>
      <c r="C8" s="14" t="n"/>
      <c r="D8" s="7" t="n"/>
      <c r="E8" s="7" t="n"/>
      <c r="F8" s="8">
        <f>IF(E8="","",IF(E8&gt;25,"SI","no"))</f>
        <v/>
      </c>
      <c r="G8" s="10" t="n"/>
      <c r="H8" s="22">
        <f>IF(C8="TIENDA",D8*SUPUESTOS!$B$5*SUPUESTOS!$B$14,0)</f>
        <v/>
      </c>
    </row>
    <row r="9">
      <c r="A9" s="14" t="n"/>
      <c r="B9" s="14" t="n"/>
      <c r="C9" s="14" t="n"/>
      <c r="D9" s="7" t="n"/>
      <c r="E9" s="7" t="n"/>
      <c r="F9" s="8">
        <f>IF(E9="","",IF(E9&gt;25,"SI","no"))</f>
        <v/>
      </c>
      <c r="G9" s="10" t="n"/>
      <c r="H9" s="22">
        <f>IF(C9="TIENDA",D9*SUPUESTOS!$B$5*SUPUESTOS!$B$14,0)</f>
        <v/>
      </c>
    </row>
    <row r="10">
      <c r="A10" s="14" t="n"/>
      <c r="B10" s="14" t="n"/>
      <c r="C10" s="14" t="n"/>
      <c r="D10" s="7" t="n"/>
      <c r="E10" s="7" t="n"/>
      <c r="F10" s="8">
        <f>IF(E10="","",IF(E10&gt;25,"SI","no"))</f>
        <v/>
      </c>
      <c r="G10" s="10" t="n"/>
      <c r="H10" s="22">
        <f>IF(C10="TIENDA",D10*SUPUESTOS!$B$5*SUPUESTOS!$B$14,0)</f>
        <v/>
      </c>
    </row>
    <row r="11">
      <c r="A11" s="14" t="n"/>
      <c r="B11" s="14" t="n"/>
      <c r="C11" s="14" t="n"/>
      <c r="D11" s="7" t="n"/>
      <c r="E11" s="7" t="n"/>
      <c r="F11" s="8">
        <f>IF(E11="","",IF(E11&gt;25,"SI","no"))</f>
        <v/>
      </c>
      <c r="G11" s="10" t="n"/>
      <c r="H11" s="22">
        <f>IF(C11="TIENDA",D11*SUPUESTOS!$B$5*SUPUESTOS!$B$14,0)</f>
        <v/>
      </c>
    </row>
    <row r="12">
      <c r="A12" s="14" t="n"/>
      <c r="B12" s="14" t="n"/>
      <c r="C12" s="14" t="n"/>
      <c r="D12" s="7" t="n"/>
      <c r="E12" s="7" t="n"/>
      <c r="F12" s="8">
        <f>IF(E12="","",IF(E12&gt;25,"SI","no"))</f>
        <v/>
      </c>
      <c r="G12" s="10" t="n"/>
      <c r="H12" s="22">
        <f>IF(C12="TIENDA",D12*SUPUESTOS!$B$5*SUPUESTOS!$B$14,0)</f>
        <v/>
      </c>
    </row>
    <row r="13">
      <c r="A13" s="14" t="n"/>
      <c r="B13" s="14" t="n"/>
      <c r="C13" s="14" t="n"/>
      <c r="D13" s="7" t="n"/>
      <c r="E13" s="7" t="n"/>
      <c r="F13" s="8">
        <f>IF(E13="","",IF(E13&gt;25,"SI","no"))</f>
        <v/>
      </c>
      <c r="G13" s="10" t="n"/>
      <c r="H13" s="22">
        <f>IF(C13="TIENDA",D13*SUPUESTOS!$B$5*SUPUESTOS!$B$14,0)</f>
        <v/>
      </c>
    </row>
    <row r="14">
      <c r="A14" s="14" t="n"/>
      <c r="B14" s="14" t="n"/>
      <c r="C14" s="14" t="n"/>
      <c r="D14" s="7" t="n"/>
      <c r="E14" s="7" t="n"/>
      <c r="F14" s="8">
        <f>IF(E14="","",IF(E14&gt;25,"SI","no"))</f>
        <v/>
      </c>
      <c r="G14" s="10" t="n"/>
      <c r="H14" s="22">
        <f>IF(C14="TIENDA",D14*SUPUESTOS!$B$5*SUPUESTOS!$B$14,0)</f>
        <v/>
      </c>
    </row>
    <row r="15">
      <c r="A15" s="14" t="n"/>
      <c r="B15" s="14" t="n"/>
      <c r="C15" s="14" t="n"/>
      <c r="D15" s="7" t="n"/>
      <c r="E15" s="7" t="n"/>
      <c r="F15" s="8">
        <f>IF(E15="","",IF(E15&gt;25,"SI","no"))</f>
        <v/>
      </c>
      <c r="G15" s="10" t="n"/>
      <c r="H15" s="22">
        <f>IF(C15="TIENDA",D15*SUPUESTOS!$B$5*SUPUESTOS!$B$14,0)</f>
        <v/>
      </c>
    </row>
    <row r="16">
      <c r="A16" s="14" t="n"/>
      <c r="B16" s="14" t="n"/>
      <c r="C16" s="14" t="n"/>
      <c r="D16" s="7" t="n"/>
      <c r="E16" s="7" t="n"/>
      <c r="F16" s="8">
        <f>IF(E16="","",IF(E16&gt;25,"SI","no"))</f>
        <v/>
      </c>
      <c r="G16" s="10" t="n"/>
      <c r="H16" s="22">
        <f>IF(C16="TIENDA",D16*SUPUESTOS!$B$5*SUPUESTOS!$B$14,0)</f>
        <v/>
      </c>
    </row>
    <row r="17">
      <c r="A17" s="14" t="n"/>
      <c r="B17" s="14" t="n"/>
      <c r="C17" s="14" t="n"/>
      <c r="D17" s="7" t="n"/>
      <c r="E17" s="7" t="n"/>
      <c r="F17" s="8">
        <f>IF(E17="","",IF(E17&gt;25,"SI","no"))</f>
        <v/>
      </c>
      <c r="G17" s="10" t="n"/>
      <c r="H17" s="22">
        <f>IF(C17="TIENDA",D17*SUPUESTOS!$B$5*SUPUESTOS!$B$14,0)</f>
        <v/>
      </c>
    </row>
    <row r="18">
      <c r="A18" s="14" t="n"/>
      <c r="B18" s="14" t="n"/>
      <c r="C18" s="14" t="n"/>
      <c r="D18" s="7" t="n"/>
      <c r="E18" s="7" t="n"/>
      <c r="F18" s="8">
        <f>IF(E18="","",IF(E18&gt;25,"SI","no"))</f>
        <v/>
      </c>
      <c r="G18" s="10" t="n"/>
      <c r="H18" s="22">
        <f>IF(C18="TIENDA",D18*SUPUESTOS!$B$5*SUPUESTOS!$B$14,0)</f>
        <v/>
      </c>
    </row>
    <row r="19">
      <c r="A19" s="14" t="n"/>
      <c r="B19" s="14" t="n"/>
      <c r="C19" s="14" t="n"/>
      <c r="D19" s="7" t="n"/>
      <c r="E19" s="7" t="n"/>
      <c r="F19" s="8">
        <f>IF(E19="","",IF(E19&gt;25,"SI","no"))</f>
        <v/>
      </c>
      <c r="G19" s="10" t="n"/>
      <c r="H19" s="22">
        <f>IF(C19="TIENDA",D19*SUPUESTOS!$B$5*SUPUESTOS!$B$14,0)</f>
        <v/>
      </c>
    </row>
    <row r="20">
      <c r="A20" s="14" t="n"/>
      <c r="B20" s="14" t="n"/>
      <c r="C20" s="14" t="n"/>
      <c r="D20" s="7" t="n"/>
      <c r="E20" s="7" t="n"/>
      <c r="F20" s="8">
        <f>IF(E20="","",IF(E20&gt;25,"SI","no"))</f>
        <v/>
      </c>
      <c r="G20" s="10" t="n"/>
      <c r="H20" s="22">
        <f>IF(C20="TIENDA",D20*SUPUESTOS!$B$5*SUPUESTOS!$B$14,0)</f>
        <v/>
      </c>
    </row>
    <row r="21">
      <c r="A21" s="14" t="n"/>
      <c r="B21" s="14" t="n"/>
      <c r="C21" s="14" t="n"/>
      <c r="D21" s="7" t="n"/>
      <c r="E21" s="7" t="n"/>
      <c r="F21" s="8">
        <f>IF(E21="","",IF(E21&gt;25,"SI","no"))</f>
        <v/>
      </c>
      <c r="G21" s="10" t="n"/>
      <c r="H21" s="22">
        <f>IF(C21="TIENDA",D21*SUPUESTOS!$B$5*SUPUESTOS!$B$14,0)</f>
        <v/>
      </c>
    </row>
    <row r="22">
      <c r="A22" s="14" t="n"/>
      <c r="B22" s="14" t="n"/>
      <c r="C22" s="14" t="n"/>
      <c r="D22" s="7" t="n"/>
      <c r="E22" s="7" t="n"/>
      <c r="F22" s="8">
        <f>IF(E22="","",IF(E22&gt;25,"SI","no"))</f>
        <v/>
      </c>
      <c r="G22" s="10" t="n"/>
      <c r="H22" s="22">
        <f>IF(C22="TIENDA",D22*SUPUESTOS!$B$5*SUPUESTOS!$B$14,0)</f>
        <v/>
      </c>
    </row>
    <row r="23">
      <c r="A23" s="14" t="n"/>
      <c r="B23" s="14" t="n"/>
      <c r="C23" s="14" t="n"/>
      <c r="D23" s="7" t="n"/>
      <c r="E23" s="7" t="n"/>
      <c r="F23" s="8">
        <f>IF(E23="","",IF(E23&gt;25,"SI","no"))</f>
        <v/>
      </c>
      <c r="G23" s="10" t="n"/>
      <c r="H23" s="22">
        <f>IF(C23="TIENDA",D23*SUPUESTOS!$B$5*SUPUESTOS!$B$14,0)</f>
        <v/>
      </c>
    </row>
    <row r="24">
      <c r="A24" s="14" t="n"/>
      <c r="B24" s="14" t="n"/>
      <c r="C24" s="14" t="n"/>
      <c r="D24" s="7" t="n"/>
      <c r="E24" s="7" t="n"/>
      <c r="F24" s="8">
        <f>IF(E24="","",IF(E24&gt;25,"SI","no"))</f>
        <v/>
      </c>
      <c r="G24" s="10" t="n"/>
      <c r="H24" s="22">
        <f>IF(C24="TIENDA",D24*SUPUESTOS!$B$5*SUPUESTOS!$B$14,0)</f>
        <v/>
      </c>
    </row>
    <row r="26">
      <c r="A26" s="32" t="inlineStr">
        <is>
          <t>TOTALES</t>
        </is>
      </c>
      <c r="D26" s="35">
        <f>SUM(D5:D24)</f>
        <v/>
      </c>
      <c r="G26" s="36">
        <f>SUM(G5:G24)</f>
        <v/>
      </c>
      <c r="H26" s="36">
        <f>SUM(H5:H24)</f>
        <v/>
      </c>
    </row>
    <row r="28">
      <c r="A28" s="18" t="inlineStr">
        <is>
          <t>En la columna Tipo escriba FAMILIA, AMIGO o TIENDA. Solo TIENDA genera comision del 10%.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0A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38" customWidth="1" min="8" max="8"/>
  </cols>
  <sheetData>
    <row r="1" ht="24" customHeight="1">
      <c r="A1" s="1" t="inlineStr">
        <is>
          <t>PUNTOS DE CONTROL - vendido contra meta</t>
        </is>
      </c>
    </row>
    <row r="2">
      <c r="A2" s="18" t="inlineStr">
        <is>
          <t>Si lo vendido queda por debajo del umbral del 90%, se activa el siguiente refuerzo de la escalera (ver 03_Hoja-de-ruta/puntos-de-control.md).</t>
        </is>
      </c>
    </row>
    <row r="4" ht="30" customHeight="1">
      <c r="A4" s="19" t="inlineStr">
        <is>
          <t>Punto de control</t>
        </is>
      </c>
      <c r="B4" s="19" t="inlineStr">
        <is>
          <t>Fecha</t>
        </is>
      </c>
      <c r="C4" s="19" t="inlineStr">
        <is>
          <t>Meta acumulada</t>
        </is>
      </c>
      <c r="D4" s="19" t="inlineStr">
        <is>
          <t>Umbral 90%</t>
        </is>
      </c>
      <c r="E4" s="19" t="inlineStr">
        <is>
          <t>Vendido real</t>
        </is>
      </c>
      <c r="F4" s="19" t="inlineStr">
        <is>
          <t>% de la meta</t>
        </is>
      </c>
      <c r="G4" s="19" t="inlineStr">
        <is>
          <t>Refuerzo?</t>
        </is>
      </c>
      <c r="H4" s="19" t="inlineStr">
        <is>
          <t>Refuerzo activado</t>
        </is>
      </c>
    </row>
    <row r="5">
      <c r="A5" s="6" t="inlineStr">
        <is>
          <t>Preventa cerrada</t>
        </is>
      </c>
      <c r="B5" s="8" t="inlineStr">
        <is>
          <t>sáb 10 - lun 12 oct</t>
        </is>
      </c>
      <c r="C5" s="20" t="n">
        <v>120</v>
      </c>
      <c r="D5" s="20">
        <f>ROUND(C5*0.9,0)</f>
        <v/>
      </c>
      <c r="E5" s="7" t="n"/>
      <c r="F5" s="21">
        <f>IF(E5="","",E5/C5)</f>
        <v/>
      </c>
      <c r="G5" s="6">
        <f>IF(E5="","",IF(E5&lt;D5,"SI","no"))</f>
        <v/>
      </c>
      <c r="H5" s="14" t="n"/>
    </row>
    <row r="6">
      <c r="A6" s="6" t="inlineStr">
        <is>
          <t>PC 1</t>
        </is>
      </c>
      <c r="B6" s="8" t="inlineStr">
        <is>
          <t>dom 18 oct</t>
        </is>
      </c>
      <c r="C6" s="20" t="n">
        <v>230</v>
      </c>
      <c r="D6" s="20">
        <f>ROUND(C6*0.9,0)</f>
        <v/>
      </c>
      <c r="E6" s="7" t="n"/>
      <c r="F6" s="21">
        <f>IF(E6="","",E6/C6)</f>
        <v/>
      </c>
      <c r="G6" s="6">
        <f>IF(E6="","",IF(E6&lt;D6,"SI","no"))</f>
        <v/>
      </c>
      <c r="H6" s="14" t="n"/>
    </row>
    <row r="7">
      <c r="A7" s="6" t="inlineStr">
        <is>
          <t>PC 2</t>
        </is>
      </c>
      <c r="B7" s="8" t="inlineStr">
        <is>
          <t>dom 25 oct</t>
        </is>
      </c>
      <c r="C7" s="20" t="n">
        <v>320</v>
      </c>
      <c r="D7" s="20">
        <f>ROUND(C7*0.9,0)</f>
        <v/>
      </c>
      <c r="E7" s="7" t="n"/>
      <c r="F7" s="21">
        <f>IF(E7="","",E7/C7)</f>
        <v/>
      </c>
      <c r="G7" s="6">
        <f>IF(E7="","",IF(E7&lt;D7,"SI","no"))</f>
        <v/>
      </c>
      <c r="H7" s="14" t="n"/>
    </row>
    <row r="8">
      <c r="A8" s="6" t="inlineStr">
        <is>
          <t>PC 3 (Tizumba?)</t>
        </is>
      </c>
      <c r="B8" s="8" t="inlineStr">
        <is>
          <t>dom 1 nov</t>
        </is>
      </c>
      <c r="C8" s="20" t="n">
        <v>420</v>
      </c>
      <c r="D8" s="20">
        <f>ROUND(C8*0.9,0)</f>
        <v/>
      </c>
      <c r="E8" s="7" t="n"/>
      <c r="F8" s="21">
        <f>IF(E8="","",E8/C8)</f>
        <v/>
      </c>
      <c r="G8" s="6">
        <f>IF(E8="","",IF(E8&lt;D8,"SI","no"))</f>
        <v/>
      </c>
      <c r="H8" s="14" t="n"/>
    </row>
    <row r="9">
      <c r="A9" s="6" t="inlineStr">
        <is>
          <t>PC 4</t>
        </is>
      </c>
      <c r="B9" s="8" t="inlineStr">
        <is>
          <t>dom 8 nov</t>
        </is>
      </c>
      <c r="C9" s="20" t="n">
        <v>500</v>
      </c>
      <c r="D9" s="20">
        <f>ROUND(C9*0.9,0)</f>
        <v/>
      </c>
      <c r="E9" s="7" t="n"/>
      <c r="F9" s="21">
        <f>IF(E9="","",E9/C9)</f>
        <v/>
      </c>
      <c r="G9" s="6">
        <f>IF(E9="","",IF(E9&lt;D9,"SI","no"))</f>
        <v/>
      </c>
      <c r="H9" s="14" t="n"/>
    </row>
    <row r="10">
      <c r="A10" s="6" t="inlineStr">
        <is>
          <t>PC 5</t>
        </is>
      </c>
      <c r="B10" s="8" t="inlineStr">
        <is>
          <t>dom 15 nov</t>
        </is>
      </c>
      <c r="C10" s="20" t="n">
        <v>600</v>
      </c>
      <c r="D10" s="20">
        <f>ROUND(C10*0.9,0)</f>
        <v/>
      </c>
      <c r="E10" s="7" t="n"/>
      <c r="F10" s="21">
        <f>IF(E10="","",E10/C10)</f>
        <v/>
      </c>
      <c r="G10" s="6">
        <f>IF(E10="","",IF(E10&lt;D10,"SI","no"))</f>
        <v/>
      </c>
      <c r="H10" s="14" t="n"/>
    </row>
    <row r="11">
      <c r="A11" s="6" t="inlineStr">
        <is>
          <t>PC 6</t>
        </is>
      </c>
      <c r="B11" s="8" t="inlineStr">
        <is>
          <t>dom 22 nov</t>
        </is>
      </c>
      <c r="C11" s="20" t="n">
        <v>690</v>
      </c>
      <c r="D11" s="20">
        <f>ROUND(C11*0.9,0)</f>
        <v/>
      </c>
      <c r="E11" s="7" t="n"/>
      <c r="F11" s="21">
        <f>IF(E11="","",E11/C11)</f>
        <v/>
      </c>
      <c r="G11" s="6">
        <f>IF(E11="","",IF(E11&lt;D11,"SI","no"))</f>
        <v/>
      </c>
      <c r="H11" s="14" t="n"/>
    </row>
    <row r="12">
      <c r="A12" s="6" t="inlineStr">
        <is>
          <t>PC 7</t>
        </is>
      </c>
      <c r="B12" s="8" t="inlineStr">
        <is>
          <t>dom 29 nov</t>
        </is>
      </c>
      <c r="C12" s="20" t="n">
        <v>750</v>
      </c>
      <c r="D12" s="20">
        <f>ROUND(C12*0.9,0)</f>
        <v/>
      </c>
      <c r="E12" s="7" t="n"/>
      <c r="F12" s="21">
        <f>IF(E12="","",E12/C12)</f>
        <v/>
      </c>
      <c r="G12" s="6">
        <f>IF(E12="","",IF(E12&lt;D12,"SI","no"))</f>
        <v/>
      </c>
      <c r="H12" s="14" t="n"/>
    </row>
    <row r="13">
      <c r="A13" s="6" t="inlineStr">
        <is>
          <t>Cierre (piso)</t>
        </is>
      </c>
      <c r="B13" s="8" t="inlineStr">
        <is>
          <t>sáb 5 dic</t>
        </is>
      </c>
      <c r="C13" s="20" t="n">
        <v>860</v>
      </c>
      <c r="D13" s="20">
        <f>ROUND(C13*0.9,0)</f>
        <v/>
      </c>
      <c r="E13" s="7" t="n"/>
      <c r="F13" s="21">
        <f>IF(E13="","",E13/C13)</f>
        <v/>
      </c>
      <c r="G13" s="6">
        <f>IF(E13="","",IF(E13&lt;D13,"SI","no"))</f>
        <v/>
      </c>
      <c r="H13" s="14" t="n"/>
    </row>
    <row r="14">
      <c r="A14" s="6" t="inlineStr">
        <is>
          <t>Cierre (meta)</t>
        </is>
      </c>
      <c r="B14" s="8" t="inlineStr">
        <is>
          <t>sáb 5 dic</t>
        </is>
      </c>
      <c r="C14" s="20" t="n">
        <v>900</v>
      </c>
      <c r="D14" s="20">
        <f>ROUND(C14*0.9,0)</f>
        <v/>
      </c>
      <c r="E14" s="7" t="n"/>
      <c r="F14" s="21">
        <f>IF(E14="","",E14/C14)</f>
        <v/>
      </c>
      <c r="G14" s="6">
        <f>IF(E14="","",IF(E14&lt;D14,"SI","no"))</f>
        <v/>
      </c>
      <c r="H14" s="14" t="n"/>
    </row>
    <row r="15">
      <c r="A15" s="18" t="n"/>
    </row>
    <row r="16">
      <c r="A16" s="18" t="inlineStr">
        <is>
          <t>Escalera de refuerzos, en orden: 1) reto de vendedores + cerrar tiendas  2) grupos de Facebook de Fusa  3) dia fuerte en la UdeC  4) publicacion de Tizumba  5) campana de numeros bonitos libres + encuestas.</t>
        </is>
      </c>
    </row>
    <row r="17">
      <c r="A17" s="18" t="inlineStr">
        <is>
          <t>Solo cuentan los numeros PAGADO. Los apartados no cuentan.</t>
        </is>
      </c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2026-10-03T02:48:46Z</dcterms:created>
  <dcterms:modified xmlns:dcterms="http://purl.org/dc/terms/" xmlns:xsi="http://www.w3.org/2001/XMLSchema-instance" xsi:type="dcterms:W3CDTF">2026-10-10T05:12:49Z</dcterms:modified>
</cp:coreProperties>
</file>