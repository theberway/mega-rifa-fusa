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Y" sheetId="1" state="visible" r:id="rId1"/>
    <sheet xmlns:r="http://schemas.openxmlformats.org/officeDocument/2006/relationships" name="NUMEROS" sheetId="2" state="visible" r:id="rId2"/>
    <sheet xmlns:r="http://schemas.openxmlformats.org/officeDocument/2006/relationships" name="COMPRADORES" sheetId="3" state="visible" r:id="rId3"/>
    <sheet xmlns:r="http://schemas.openxmlformats.org/officeDocument/2006/relationships" name="PAGOS" sheetId="4" state="visible" r:id="rId4"/>
    <sheet xmlns:r="http://schemas.openxmlformats.org/officeDocument/2006/relationships" name="VENDEDORES" sheetId="5" state="visible" r:id="rId5"/>
    <sheet xmlns:r="http://schemas.openxmlformats.org/officeDocument/2006/relationships" name="GASTOS" sheetId="6" state="visible" r:id="rId6"/>
    <sheet xmlns:r="http://schemas.openxmlformats.org/officeDocument/2006/relationships" name="NZ" sheetId="7" state="visible" r:id="rId7"/>
    <sheet xmlns:r="http://schemas.openxmlformats.org/officeDocument/2006/relationships" name="RESUMEN" sheetId="8" state="visible" r:id="rId8"/>
    <sheet xmlns:r="http://schemas.openxmlformats.org/officeDocument/2006/relationships" name="LEE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dd/mm/yyyy"/>
    <numFmt numFmtId="166" formatCode="&quot;$&quot;#,##0"/>
  </numFmts>
  <fonts count="22">
    <font>
      <name val="Calibri"/>
      <family val="2"/>
      <color theme="1"/>
      <sz val="11"/>
      <scheme val="minor"/>
    </font>
    <font>
      <b val="1"/>
      <color rgb="00C1121F"/>
      <sz val="20"/>
    </font>
    <font>
      <i val="1"/>
      <color rgb="00777777"/>
      <sz val="10"/>
    </font>
    <font>
      <b val="1"/>
      <sz val="13"/>
    </font>
    <font>
      <b val="1"/>
      <color rgb="000A3D62"/>
      <sz val="22"/>
    </font>
    <font>
      <b val="1"/>
      <color rgb="00F2B705"/>
      <sz val="22"/>
    </font>
    <font>
      <b val="1"/>
      <color rgb="001E6F50"/>
      <sz val="22"/>
    </font>
    <font>
      <b val="1"/>
      <color rgb="00C1121F"/>
      <sz val="22"/>
    </font>
    <font>
      <b val="1"/>
      <color rgb="001A1A1A"/>
      <sz val="22"/>
    </font>
    <font>
      <b val="1"/>
      <color rgb="00C1121F"/>
      <sz val="13"/>
    </font>
    <font>
      <sz val="11"/>
    </font>
    <font>
      <name val="Arial"/>
      <i val="1"/>
      <color rgb="00777777"/>
      <sz val="9"/>
    </font>
    <font>
      <name val="Arial"/>
      <b val="1"/>
      <color rgb="00FFF4D6"/>
      <sz val="11"/>
    </font>
    <font>
      <name val="Consolas"/>
      <b val="1"/>
    </font>
    <font>
      <b val="1"/>
    </font>
    <font>
      <b val="1"/>
      <sz val="14"/>
    </font>
    <font>
      <i val="1"/>
      <color rgb="00777777"/>
      <sz val="9"/>
    </font>
    <font>
      <b val="1"/>
      <color rgb="00C1121F"/>
      <sz val="16"/>
    </font>
    <font>
      <b val="1"/>
      <sz val="11"/>
    </font>
    <font>
      <b val="1"/>
      <color rgb="00C1121F"/>
      <sz val="12"/>
    </font>
    <font>
      <color rgb="001A1A1A"/>
      <sz val="11"/>
    </font>
    <font>
      <b val="1"/>
      <color rgb="001A1A1A"/>
      <sz val="12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EEEEE"/>
      </patternFill>
    </fill>
    <fill>
      <patternFill patternType="solid">
        <fgColor rgb="00F2B70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3" fontId="7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0" fontId="13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0" fontId="15" fillId="4" borderId="0" pivotButton="0" quotePrefix="0" xfId="0"/>
    <xf numFmtId="0" fontId="16" fillId="0" borderId="0" pivotButton="0" quotePrefix="0" xfId="0"/>
    <xf numFmtId="0" fontId="12" fillId="2" borderId="0" applyAlignment="1" pivotButton="0" quotePrefix="0" xfId="0">
      <alignment horizontal="center"/>
    </xf>
    <xf numFmtId="0" fontId="17" fillId="0" borderId="0" pivotButton="0" quotePrefix="0" xfId="0"/>
    <xf numFmtId="0" fontId="10" fillId="0" borderId="0" pivotButton="0" quotePrefix="0" xfId="0"/>
    <xf numFmtId="3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0" fontId="18" fillId="4" borderId="0" pivotButton="0" quotePrefix="0" xfId="0"/>
    <xf numFmtId="166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FFF4D6"/>
      </font>
      <fill>
        <patternFill patternType="solid">
          <fgColor rgb="000A3D62"/>
        </patternFill>
      </fill>
    </dxf>
    <dxf>
      <font>
        <b val="1"/>
        <color rgb="00FFF4D6"/>
      </font>
      <fill>
        <patternFill patternType="solid">
          <fgColor rgb="00C1121F"/>
        </patternFill>
      </fill>
    </dxf>
    <dxf>
      <font>
        <color rgb="001A1A1A"/>
      </font>
      <fill>
        <patternFill patternType="solid">
          <fgColor rgb="00F2B70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A0A6"/>
    <outlinePr summaryBelow="1" summaryRight="1"/>
    <pageSetUpPr/>
  </sheetPr>
  <dimension ref="A2:D2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8" customWidth="1" min="4" max="4"/>
  </cols>
  <sheetData>
    <row r="2">
      <c r="B2" s="1" t="inlineStr">
        <is>
          <t>MEGA RIFA FUSA · HOY</t>
        </is>
      </c>
    </row>
    <row r="3">
      <c r="B3" s="2" t="inlineStr">
        <is>
          <t>Lo único que hay que mirar cada día. Todo se calcula solo.</t>
        </is>
      </c>
    </row>
    <row r="5" ht="30" customHeight="1">
      <c r="B5" s="3" t="inlineStr">
        <is>
          <t>PAGADOS</t>
        </is>
      </c>
      <c r="C5" s="4">
        <f>RESUMEN!$B$3</f>
        <v/>
      </c>
      <c r="D5" s="2" t="inlineStr">
        <is>
          <t>números con la plata verificada</t>
        </is>
      </c>
    </row>
    <row r="7" ht="30" customHeight="1">
      <c r="B7" s="3" t="inlineStr">
        <is>
          <t>APARTADOS vivos</t>
        </is>
      </c>
      <c r="C7" s="5">
        <f>RESUMEN!$B$4</f>
        <v/>
      </c>
      <c r="D7" s="2" t="inlineStr">
        <is>
          <t>aún no cumplen 24 h</t>
        </is>
      </c>
    </row>
    <row r="9" ht="30" customHeight="1">
      <c r="B9" s="3" t="inlineStr">
        <is>
          <t>LIBRES</t>
        </is>
      </c>
      <c r="C9" s="6">
        <f>RESUMEN!$B$5</f>
        <v/>
      </c>
      <c r="D9" s="2" t="inlineStr">
        <is>
          <t>lo que de verdad queda</t>
        </is>
      </c>
    </row>
    <row r="11" ht="30" customHeight="1">
      <c r="B11" s="3" t="inlineStr">
        <is>
          <t>VENCIDOS por recuperar</t>
        </is>
      </c>
      <c r="C11" s="7">
        <f>RESUMEN!$B$6</f>
        <v/>
      </c>
      <c r="D11" s="2" t="inlineStr">
        <is>
          <t>se cayeron solos: vuélvelos a ofrecer hoy</t>
        </is>
      </c>
    </row>
    <row r="13" ht="30" customHeight="1">
      <c r="B13" s="3" t="inlineStr">
        <is>
          <t>RITMO por día</t>
        </is>
      </c>
      <c r="C13" s="8">
        <f>RESUMEN!$B$13</f>
        <v/>
      </c>
      <c r="D13" s="2" t="inlineStr">
        <is>
          <t>para llegar al piso. Si pasa de 30, vas atrasado</t>
        </is>
      </c>
    </row>
    <row r="16">
      <c r="B16" s="9" t="inlineStr">
        <is>
          <t>QUÉ HAGO HOY</t>
        </is>
      </c>
    </row>
    <row r="17" ht="30" customHeight="1">
      <c r="B17" s="10" t="inlineStr">
        <is>
          <t>1. Abro Nu y marco PAGADO lo que llegó: lleno una fila en COMPRADORES (número, nombre, teléfono, SI/NO, y SI/NO de The Ber Way).</t>
        </is>
      </c>
    </row>
    <row r="18" ht="30" customHeight="1">
      <c r="B18" s="10" t="inlineStr">
        <is>
          <t>2. Reviso las filas ROJAS de NUMEROS (apartados vencidos): les escribo y, si no responden, pongo LIBRE.</t>
        </is>
      </c>
    </row>
    <row r="19" ht="30" customHeight="1">
      <c r="B19" s="10" t="inlineStr">
        <is>
          <t>3. Publico la imagen del tablero con el contador real (lo de LIBRES de arriba).</t>
        </is>
      </c>
    </row>
    <row r="21">
      <c r="A21" s="11" t="inlineStr">
        <is>
          <t>Para el detalle de la plata y las metas de cada domingo, mira la pestaña RESUMEN.</t>
        </is>
      </c>
    </row>
  </sheetData>
  <mergeCells count="3">
    <mergeCell ref="B17:D17"/>
    <mergeCell ref="B18:D18"/>
    <mergeCell ref="B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F50"/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18" customWidth="1" min="5" max="5"/>
    <col width="11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NUMERO</t>
        </is>
      </c>
      <c r="B1" s="12" t="inlineStr">
        <is>
          <t>ESTADO_MANUAL</t>
        </is>
      </c>
      <c r="C1" s="12" t="inlineStr">
        <is>
          <t>HORA_APARTADO</t>
        </is>
      </c>
      <c r="D1" s="12" t="inlineStr">
        <is>
          <t>VENDEDOR</t>
        </is>
      </c>
      <c r="E1" s="12" t="inlineStr">
        <is>
          <t>NOMBRE_PUBLICO</t>
        </is>
      </c>
      <c r="F1" s="12" t="inlineStr">
        <is>
          <t>SERIAL</t>
        </is>
      </c>
      <c r="G1" s="12" t="inlineStr">
        <is>
          <t>ESTADO</t>
        </is>
      </c>
      <c r="H1" s="12" t="inlineStr">
        <is>
          <t>VENCE_A</t>
        </is>
      </c>
      <c r="I1" s="12" t="inlineStr">
        <is>
          <t>NOTA</t>
        </is>
      </c>
    </row>
    <row r="2">
      <c r="A2" s="13" t="inlineStr">
        <is>
          <t>000</t>
        </is>
      </c>
      <c r="B2" t="inlineStr">
        <is>
          <t>LIBRE</t>
        </is>
      </c>
      <c r="C2" s="14" t="n"/>
      <c r="E2" s="15">
        <f>IF($G2&lt;&gt;"PAGADO","",IFERROR(IF(VLOOKUP($A2,COMPRADORES!$A:$D,4,FALSE)="NO","Reservado",LEFT(VLOOKUP($A2,COMPRADORES!$A:$D,2,FALSE),3)&amp;"***"&amp;IF(TRIM(MID(VLOOKUP($A2,COMPRADORES!$A:$D,2,FALSE)&amp;" ",FIND(" ",VLOOKUP($A2,COMPRADORES!$A:$D,2,FALSE)&amp;" ")+1,99))="",""," "&amp;LEFT(TRIM(MID(VLOOKUP($A2,COMPRADORES!$A:$D,2,FALSE)&amp;" ",FIND(" ",VLOOKUP($A2,COMPRADORES!$A:$D,2,FALSE)&amp;" ")+1,99)),1)&amp;".")),""))</f>
        <v/>
      </c>
      <c r="F2" s="16">
        <f>IF($B2="PAGADO",MID("ABCDEFGHIJ",INT(VALUE($A2)/100)+1,1)&amp;"-"&amp;$A2,"")</f>
        <v/>
      </c>
      <c r="G2" s="16">
        <f>IF($B2="PAGADO","PAGADO",IF($B2="APARTADO",IF(NOT(ISNUMBER($C2)),"APARTADO",IF($C2&lt;1,"APARTADO",IF(NOW()-$C2&gt;1,"LIBRE","APARTADO"))),"LIBRE"))</f>
        <v/>
      </c>
      <c r="H2" s="15">
        <f>IF($G2&lt;&gt;"APARTADO","",IF(NOT(ISNUMBER($C2)),"FALTA LA HORA",IF($C2&lt;1,"FALTA LA FECHA",TEXT($C2+1,"dd/mm hh:mm"))))</f>
        <v/>
      </c>
    </row>
    <row r="3">
      <c r="A3" s="13" t="inlineStr">
        <is>
          <t>001</t>
        </is>
      </c>
      <c r="B3" t="inlineStr">
        <is>
          <t>LIBRE</t>
        </is>
      </c>
      <c r="C3" s="14" t="n"/>
      <c r="E3" s="15">
        <f>IF($G3&lt;&gt;"PAGADO","",IFERROR(IF(VLOOKUP($A3,COMPRADORES!$A:$D,4,FALSE)="NO","Reservado",LEFT(VLOOKUP($A3,COMPRADORES!$A:$D,2,FALSE),3)&amp;"***"&amp;IF(TRIM(MID(VLOOKUP($A3,COMPRADORES!$A:$D,2,FALSE)&amp;" ",FIND(" ",VLOOKUP($A3,COMPRADORES!$A:$D,2,FALSE)&amp;" ")+1,99))="",""," "&amp;LEFT(TRIM(MID(VLOOKUP($A3,COMPRADORES!$A:$D,2,FALSE)&amp;" ",FIND(" ",VLOOKUP($A3,COMPRADORES!$A:$D,2,FALSE)&amp;" ")+1,99)),1)&amp;".")),""))</f>
        <v/>
      </c>
      <c r="F3" s="16">
        <f>IF($B3="PAGADO",MID("ABCDEFGHIJ",INT(VALUE($A3)/100)+1,1)&amp;"-"&amp;$A3,"")</f>
        <v/>
      </c>
      <c r="G3" s="16">
        <f>IF($B3="PAGADO","PAGADO",IF($B3="APARTADO",IF(NOT(ISNUMBER($C3)),"APARTADO",IF($C3&lt;1,"APARTADO",IF(NOW()-$C3&gt;1,"LIBRE","APARTADO"))),"LIBRE"))</f>
        <v/>
      </c>
      <c r="H3" s="15">
        <f>IF($G3&lt;&gt;"APARTADO","",IF(NOT(ISNUMBER($C3)),"FALTA LA HORA",IF($C3&lt;1,"FALTA LA FECHA",TEXT($C3+1,"dd/mm hh:mm"))))</f>
        <v/>
      </c>
    </row>
    <row r="4">
      <c r="A4" s="13" t="inlineStr">
        <is>
          <t>002</t>
        </is>
      </c>
      <c r="B4" t="inlineStr">
        <is>
          <t>LIBRE</t>
        </is>
      </c>
      <c r="C4" s="14" t="n"/>
      <c r="E4" s="15">
        <f>IF($G4&lt;&gt;"PAGADO","",IFERROR(IF(VLOOKUP($A4,COMPRADORES!$A:$D,4,FALSE)="NO","Reservado",LEFT(VLOOKUP($A4,COMPRADORES!$A:$D,2,FALSE),3)&amp;"***"&amp;IF(TRIM(MID(VLOOKUP($A4,COMPRADORES!$A:$D,2,FALSE)&amp;" ",FIND(" ",VLOOKUP($A4,COMPRADORES!$A:$D,2,FALSE)&amp;" ")+1,99))="",""," "&amp;LEFT(TRIM(MID(VLOOKUP($A4,COMPRADORES!$A:$D,2,FALSE)&amp;" ",FIND(" ",VLOOKUP($A4,COMPRADORES!$A:$D,2,FALSE)&amp;" ")+1,99)),1)&amp;".")),""))</f>
        <v/>
      </c>
      <c r="F4" s="16">
        <f>IF($B4="PAGADO",MID("ABCDEFGHIJ",INT(VALUE($A4)/100)+1,1)&amp;"-"&amp;$A4,"")</f>
        <v/>
      </c>
      <c r="G4" s="16">
        <f>IF($B4="PAGADO","PAGADO",IF($B4="APARTADO",IF(NOT(ISNUMBER($C4)),"APARTADO",IF($C4&lt;1,"APARTADO",IF(NOW()-$C4&gt;1,"LIBRE","APARTADO"))),"LIBRE"))</f>
        <v/>
      </c>
      <c r="H4" s="15">
        <f>IF($G4&lt;&gt;"APARTADO","",IF(NOT(ISNUMBER($C4)),"FALTA LA HORA",IF($C4&lt;1,"FALTA LA FECHA",TEXT($C4+1,"dd/mm hh:mm"))))</f>
        <v/>
      </c>
    </row>
    <row r="5">
      <c r="A5" s="13" t="inlineStr">
        <is>
          <t>003</t>
        </is>
      </c>
      <c r="B5" t="inlineStr">
        <is>
          <t>LIBRE</t>
        </is>
      </c>
      <c r="C5" s="14" t="n"/>
      <c r="E5" s="15">
        <f>IF($G5&lt;&gt;"PAGADO","",IFERROR(IF(VLOOKUP($A5,COMPRADORES!$A:$D,4,FALSE)="NO","Reservado",LEFT(VLOOKUP($A5,COMPRADORES!$A:$D,2,FALSE),3)&amp;"***"&amp;IF(TRIM(MID(VLOOKUP($A5,COMPRADORES!$A:$D,2,FALSE)&amp;" ",FIND(" ",VLOOKUP($A5,COMPRADORES!$A:$D,2,FALSE)&amp;" ")+1,99))="",""," "&amp;LEFT(TRIM(MID(VLOOKUP($A5,COMPRADORES!$A:$D,2,FALSE)&amp;" ",FIND(" ",VLOOKUP($A5,COMPRADORES!$A:$D,2,FALSE)&amp;" ")+1,99)),1)&amp;".")),""))</f>
        <v/>
      </c>
      <c r="F5" s="16">
        <f>IF($B5="PAGADO",MID("ABCDEFGHIJ",INT(VALUE($A5)/100)+1,1)&amp;"-"&amp;$A5,"")</f>
        <v/>
      </c>
      <c r="G5" s="16">
        <f>IF($B5="PAGADO","PAGADO",IF($B5="APARTADO",IF(NOT(ISNUMBER($C5)),"APARTADO",IF($C5&lt;1,"APARTADO",IF(NOW()-$C5&gt;1,"LIBRE","APARTADO"))),"LIBRE"))</f>
        <v/>
      </c>
      <c r="H5" s="15">
        <f>IF($G5&lt;&gt;"APARTADO","",IF(NOT(ISNUMBER($C5)),"FALTA LA HORA",IF($C5&lt;1,"FALTA LA FECHA",TEXT($C5+1,"dd/mm hh:mm"))))</f>
        <v/>
      </c>
    </row>
    <row r="6">
      <c r="A6" s="13" t="inlineStr">
        <is>
          <t>004</t>
        </is>
      </c>
      <c r="B6" t="inlineStr">
        <is>
          <t>LIBRE</t>
        </is>
      </c>
      <c r="C6" s="14" t="n"/>
      <c r="E6" s="15">
        <f>IF($G6&lt;&gt;"PAGADO","",IFERROR(IF(VLOOKUP($A6,COMPRADORES!$A:$D,4,FALSE)="NO","Reservado",LEFT(VLOOKUP($A6,COMPRADORES!$A:$D,2,FALSE),3)&amp;"***"&amp;IF(TRIM(MID(VLOOKUP($A6,COMPRADORES!$A:$D,2,FALSE)&amp;" ",FIND(" ",VLOOKUP($A6,COMPRADORES!$A:$D,2,FALSE)&amp;" ")+1,99))="",""," "&amp;LEFT(TRIM(MID(VLOOKUP($A6,COMPRADORES!$A:$D,2,FALSE)&amp;" ",FIND(" ",VLOOKUP($A6,COMPRADORES!$A:$D,2,FALSE)&amp;" ")+1,99)),1)&amp;".")),""))</f>
        <v/>
      </c>
      <c r="F6" s="16">
        <f>IF($B6="PAGADO",MID("ABCDEFGHIJ",INT(VALUE($A6)/100)+1,1)&amp;"-"&amp;$A6,"")</f>
        <v/>
      </c>
      <c r="G6" s="16">
        <f>IF($B6="PAGADO","PAGADO",IF($B6="APARTADO",IF(NOT(ISNUMBER($C6)),"APARTADO",IF($C6&lt;1,"APARTADO",IF(NOW()-$C6&gt;1,"LIBRE","APARTADO"))),"LIBRE"))</f>
        <v/>
      </c>
      <c r="H6" s="15">
        <f>IF($G6&lt;&gt;"APARTADO","",IF(NOT(ISNUMBER($C6)),"FALTA LA HORA",IF($C6&lt;1,"FALTA LA FECHA",TEXT($C6+1,"dd/mm hh:mm"))))</f>
        <v/>
      </c>
    </row>
    <row r="7">
      <c r="A7" s="13" t="inlineStr">
        <is>
          <t>005</t>
        </is>
      </c>
      <c r="B7" t="inlineStr">
        <is>
          <t>LIBRE</t>
        </is>
      </c>
      <c r="C7" s="14" t="n"/>
      <c r="E7" s="15">
        <f>IF($G7&lt;&gt;"PAGADO","",IFERROR(IF(VLOOKUP($A7,COMPRADORES!$A:$D,4,FALSE)="NO","Reservado",LEFT(VLOOKUP($A7,COMPRADORES!$A:$D,2,FALSE),3)&amp;"***"&amp;IF(TRIM(MID(VLOOKUP($A7,COMPRADORES!$A:$D,2,FALSE)&amp;" ",FIND(" ",VLOOKUP($A7,COMPRADORES!$A:$D,2,FALSE)&amp;" ")+1,99))="",""," "&amp;LEFT(TRIM(MID(VLOOKUP($A7,COMPRADORES!$A:$D,2,FALSE)&amp;" ",FIND(" ",VLOOKUP($A7,COMPRADORES!$A:$D,2,FALSE)&amp;" ")+1,99)),1)&amp;".")),""))</f>
        <v/>
      </c>
      <c r="F7" s="16">
        <f>IF($B7="PAGADO",MID("ABCDEFGHIJ",INT(VALUE($A7)/100)+1,1)&amp;"-"&amp;$A7,"")</f>
        <v/>
      </c>
      <c r="G7" s="16">
        <f>IF($B7="PAGADO","PAGADO",IF($B7="APARTADO",IF(NOT(ISNUMBER($C7)),"APARTADO",IF($C7&lt;1,"APARTADO",IF(NOW()-$C7&gt;1,"LIBRE","APARTADO"))),"LIBRE"))</f>
        <v/>
      </c>
      <c r="H7" s="15">
        <f>IF($G7&lt;&gt;"APARTADO","",IF(NOT(ISNUMBER($C7)),"FALTA LA HORA",IF($C7&lt;1,"FALTA LA FECHA",TEXT($C7+1,"dd/mm hh:mm"))))</f>
        <v/>
      </c>
    </row>
    <row r="8">
      <c r="A8" s="13" t="inlineStr">
        <is>
          <t>006</t>
        </is>
      </c>
      <c r="B8" t="inlineStr">
        <is>
          <t>LIBRE</t>
        </is>
      </c>
      <c r="C8" s="14" t="n"/>
      <c r="E8" s="15">
        <f>IF($G8&lt;&gt;"PAGADO","",IFERROR(IF(VLOOKUP($A8,COMPRADORES!$A:$D,4,FALSE)="NO","Reservado",LEFT(VLOOKUP($A8,COMPRADORES!$A:$D,2,FALSE),3)&amp;"***"&amp;IF(TRIM(MID(VLOOKUP($A8,COMPRADORES!$A:$D,2,FALSE)&amp;" ",FIND(" ",VLOOKUP($A8,COMPRADORES!$A:$D,2,FALSE)&amp;" ")+1,99))="",""," "&amp;LEFT(TRIM(MID(VLOOKUP($A8,COMPRADORES!$A:$D,2,FALSE)&amp;" ",FIND(" ",VLOOKUP($A8,COMPRADORES!$A:$D,2,FALSE)&amp;" ")+1,99)),1)&amp;".")),""))</f>
        <v/>
      </c>
      <c r="F8" s="16">
        <f>IF($B8="PAGADO",MID("ABCDEFGHIJ",INT(VALUE($A8)/100)+1,1)&amp;"-"&amp;$A8,"")</f>
        <v/>
      </c>
      <c r="G8" s="16">
        <f>IF($B8="PAGADO","PAGADO",IF($B8="APARTADO",IF(NOT(ISNUMBER($C8)),"APARTADO",IF($C8&lt;1,"APARTADO",IF(NOW()-$C8&gt;1,"LIBRE","APARTADO"))),"LIBRE"))</f>
        <v/>
      </c>
      <c r="H8" s="15">
        <f>IF($G8&lt;&gt;"APARTADO","",IF(NOT(ISNUMBER($C8)),"FALTA LA HORA",IF($C8&lt;1,"FALTA LA FECHA",TEXT($C8+1,"dd/mm hh:mm"))))</f>
        <v/>
      </c>
    </row>
    <row r="9">
      <c r="A9" s="13" t="inlineStr">
        <is>
          <t>007</t>
        </is>
      </c>
      <c r="B9" t="inlineStr">
        <is>
          <t>LIBRE</t>
        </is>
      </c>
      <c r="C9" s="14" t="n"/>
      <c r="E9" s="15">
        <f>IF($G9&lt;&gt;"PAGADO","",IFERROR(IF(VLOOKUP($A9,COMPRADORES!$A:$D,4,FALSE)="NO","Reservado",LEFT(VLOOKUP($A9,COMPRADORES!$A:$D,2,FALSE),3)&amp;"***"&amp;IF(TRIM(MID(VLOOKUP($A9,COMPRADORES!$A:$D,2,FALSE)&amp;" ",FIND(" ",VLOOKUP($A9,COMPRADORES!$A:$D,2,FALSE)&amp;" ")+1,99))="",""," "&amp;LEFT(TRIM(MID(VLOOKUP($A9,COMPRADORES!$A:$D,2,FALSE)&amp;" ",FIND(" ",VLOOKUP($A9,COMPRADORES!$A:$D,2,FALSE)&amp;" ")+1,99)),1)&amp;".")),""))</f>
        <v/>
      </c>
      <c r="F9" s="16">
        <f>IF($B9="PAGADO",MID("ABCDEFGHIJ",INT(VALUE($A9)/100)+1,1)&amp;"-"&amp;$A9,"")</f>
        <v/>
      </c>
      <c r="G9" s="16">
        <f>IF($B9="PAGADO","PAGADO",IF($B9="APARTADO",IF(NOT(ISNUMBER($C9)),"APARTADO",IF($C9&lt;1,"APARTADO",IF(NOW()-$C9&gt;1,"LIBRE","APARTADO"))),"LIBRE"))</f>
        <v/>
      </c>
      <c r="H9" s="15">
        <f>IF($G9&lt;&gt;"APARTADO","",IF(NOT(ISNUMBER($C9)),"FALTA LA HORA",IF($C9&lt;1,"FALTA LA FECHA",TEXT($C9+1,"dd/mm hh:mm"))))</f>
        <v/>
      </c>
    </row>
    <row r="10">
      <c r="A10" s="13" t="inlineStr">
        <is>
          <t>008</t>
        </is>
      </c>
      <c r="B10" t="inlineStr">
        <is>
          <t>LIBRE</t>
        </is>
      </c>
      <c r="C10" s="14" t="n"/>
      <c r="E10" s="15">
        <f>IF($G10&lt;&gt;"PAGADO","",IFERROR(IF(VLOOKUP($A10,COMPRADORES!$A:$D,4,FALSE)="NO","Reservado",LEFT(VLOOKUP($A10,COMPRADORES!$A:$D,2,FALSE),3)&amp;"***"&amp;IF(TRIM(MID(VLOOKUP($A10,COMPRADORES!$A:$D,2,FALSE)&amp;" ",FIND(" ",VLOOKUP($A10,COMPRADORES!$A:$D,2,FALSE)&amp;" ")+1,99))="",""," "&amp;LEFT(TRIM(MID(VLOOKUP($A10,COMPRADORES!$A:$D,2,FALSE)&amp;" ",FIND(" ",VLOOKUP($A10,COMPRADORES!$A:$D,2,FALSE)&amp;" ")+1,99)),1)&amp;".")),""))</f>
        <v/>
      </c>
      <c r="F10" s="16">
        <f>IF($B10="PAGADO",MID("ABCDEFGHIJ",INT(VALUE($A10)/100)+1,1)&amp;"-"&amp;$A10,"")</f>
        <v/>
      </c>
      <c r="G10" s="16">
        <f>IF($B10="PAGADO","PAGADO",IF($B10="APARTADO",IF(NOT(ISNUMBER($C10)),"APARTADO",IF($C10&lt;1,"APARTADO",IF(NOW()-$C10&gt;1,"LIBRE","APARTADO"))),"LIBRE"))</f>
        <v/>
      </c>
      <c r="H10" s="15">
        <f>IF($G10&lt;&gt;"APARTADO","",IF(NOT(ISNUMBER($C10)),"FALTA LA HORA",IF($C10&lt;1,"FALTA LA FECHA",TEXT($C10+1,"dd/mm hh:mm"))))</f>
        <v/>
      </c>
    </row>
    <row r="11">
      <c r="A11" s="13" t="inlineStr">
        <is>
          <t>009</t>
        </is>
      </c>
      <c r="B11" t="inlineStr">
        <is>
          <t>LIBRE</t>
        </is>
      </c>
      <c r="C11" s="14" t="n"/>
      <c r="E11" s="15">
        <f>IF($G11&lt;&gt;"PAGADO","",IFERROR(IF(VLOOKUP($A11,COMPRADORES!$A:$D,4,FALSE)="NO","Reservado",LEFT(VLOOKUP($A11,COMPRADORES!$A:$D,2,FALSE),3)&amp;"***"&amp;IF(TRIM(MID(VLOOKUP($A11,COMPRADORES!$A:$D,2,FALSE)&amp;" ",FIND(" ",VLOOKUP($A11,COMPRADORES!$A:$D,2,FALSE)&amp;" ")+1,99))="",""," "&amp;LEFT(TRIM(MID(VLOOKUP($A11,COMPRADORES!$A:$D,2,FALSE)&amp;" ",FIND(" ",VLOOKUP($A11,COMPRADORES!$A:$D,2,FALSE)&amp;" ")+1,99)),1)&amp;".")),""))</f>
        <v/>
      </c>
      <c r="F11" s="16">
        <f>IF($B11="PAGADO",MID("ABCDEFGHIJ",INT(VALUE($A11)/100)+1,1)&amp;"-"&amp;$A11,"")</f>
        <v/>
      </c>
      <c r="G11" s="16">
        <f>IF($B11="PAGADO","PAGADO",IF($B11="APARTADO",IF(NOT(ISNUMBER($C11)),"APARTADO",IF($C11&lt;1,"APARTADO",IF(NOW()-$C11&gt;1,"LIBRE","APARTADO"))),"LIBRE"))</f>
        <v/>
      </c>
      <c r="H11" s="15">
        <f>IF($G11&lt;&gt;"APARTADO","",IF(NOT(ISNUMBER($C11)),"FALTA LA HORA",IF($C11&lt;1,"FALTA LA FECHA",TEXT($C11+1,"dd/mm hh:mm"))))</f>
        <v/>
      </c>
    </row>
    <row r="12">
      <c r="A12" s="13" t="inlineStr">
        <is>
          <t>010</t>
        </is>
      </c>
      <c r="B12" t="inlineStr">
        <is>
          <t>LIBRE</t>
        </is>
      </c>
      <c r="C12" s="14" t="n"/>
      <c r="E12" s="15">
        <f>IF($G12&lt;&gt;"PAGADO","",IFERROR(IF(VLOOKUP($A12,COMPRADORES!$A:$D,4,FALSE)="NO","Reservado",LEFT(VLOOKUP($A12,COMPRADORES!$A:$D,2,FALSE),3)&amp;"***"&amp;IF(TRIM(MID(VLOOKUP($A12,COMPRADORES!$A:$D,2,FALSE)&amp;" ",FIND(" ",VLOOKUP($A12,COMPRADORES!$A:$D,2,FALSE)&amp;" ")+1,99))="",""," "&amp;LEFT(TRIM(MID(VLOOKUP($A12,COMPRADORES!$A:$D,2,FALSE)&amp;" ",FIND(" ",VLOOKUP($A12,COMPRADORES!$A:$D,2,FALSE)&amp;" ")+1,99)),1)&amp;".")),""))</f>
        <v/>
      </c>
      <c r="F12" s="16">
        <f>IF($B12="PAGADO",MID("ABCDEFGHIJ",INT(VALUE($A12)/100)+1,1)&amp;"-"&amp;$A12,"")</f>
        <v/>
      </c>
      <c r="G12" s="16">
        <f>IF($B12="PAGADO","PAGADO",IF($B12="APARTADO",IF(NOT(ISNUMBER($C12)),"APARTADO",IF($C12&lt;1,"APARTADO",IF(NOW()-$C12&gt;1,"LIBRE","APARTADO"))),"LIBRE"))</f>
        <v/>
      </c>
      <c r="H12" s="15">
        <f>IF($G12&lt;&gt;"APARTADO","",IF(NOT(ISNUMBER($C12)),"FALTA LA HORA",IF($C12&lt;1,"FALTA LA FECHA",TEXT($C12+1,"dd/mm hh:mm"))))</f>
        <v/>
      </c>
    </row>
    <row r="13">
      <c r="A13" s="13" t="inlineStr">
        <is>
          <t>011</t>
        </is>
      </c>
      <c r="B13" t="inlineStr">
        <is>
          <t>LIBRE</t>
        </is>
      </c>
      <c r="C13" s="14" t="n"/>
      <c r="E13" s="15">
        <f>IF($G13&lt;&gt;"PAGADO","",IFERROR(IF(VLOOKUP($A13,COMPRADORES!$A:$D,4,FALSE)="NO","Reservado",LEFT(VLOOKUP($A13,COMPRADORES!$A:$D,2,FALSE),3)&amp;"***"&amp;IF(TRIM(MID(VLOOKUP($A13,COMPRADORES!$A:$D,2,FALSE)&amp;" ",FIND(" ",VLOOKUP($A13,COMPRADORES!$A:$D,2,FALSE)&amp;" ")+1,99))="",""," "&amp;LEFT(TRIM(MID(VLOOKUP($A13,COMPRADORES!$A:$D,2,FALSE)&amp;" ",FIND(" ",VLOOKUP($A13,COMPRADORES!$A:$D,2,FALSE)&amp;" ")+1,99)),1)&amp;".")),""))</f>
        <v/>
      </c>
      <c r="F13" s="16">
        <f>IF($B13="PAGADO",MID("ABCDEFGHIJ",INT(VALUE($A13)/100)+1,1)&amp;"-"&amp;$A13,"")</f>
        <v/>
      </c>
      <c r="G13" s="16">
        <f>IF($B13="PAGADO","PAGADO",IF($B13="APARTADO",IF(NOT(ISNUMBER($C13)),"APARTADO",IF($C13&lt;1,"APARTADO",IF(NOW()-$C13&gt;1,"LIBRE","APARTADO"))),"LIBRE"))</f>
        <v/>
      </c>
      <c r="H13" s="15">
        <f>IF($G13&lt;&gt;"APARTADO","",IF(NOT(ISNUMBER($C13)),"FALTA LA HORA",IF($C13&lt;1,"FALTA LA FECHA",TEXT($C13+1,"dd/mm hh:mm"))))</f>
        <v/>
      </c>
    </row>
    <row r="14">
      <c r="A14" s="13" t="inlineStr">
        <is>
          <t>012</t>
        </is>
      </c>
      <c r="B14" t="inlineStr">
        <is>
          <t>LIBRE</t>
        </is>
      </c>
      <c r="C14" s="14" t="n"/>
      <c r="E14" s="15">
        <f>IF($G14&lt;&gt;"PAGADO","",IFERROR(IF(VLOOKUP($A14,COMPRADORES!$A:$D,4,FALSE)="NO","Reservado",LEFT(VLOOKUP($A14,COMPRADORES!$A:$D,2,FALSE),3)&amp;"***"&amp;IF(TRIM(MID(VLOOKUP($A14,COMPRADORES!$A:$D,2,FALSE)&amp;" ",FIND(" ",VLOOKUP($A14,COMPRADORES!$A:$D,2,FALSE)&amp;" ")+1,99))="",""," "&amp;LEFT(TRIM(MID(VLOOKUP($A14,COMPRADORES!$A:$D,2,FALSE)&amp;" ",FIND(" ",VLOOKUP($A14,COMPRADORES!$A:$D,2,FALSE)&amp;" ")+1,99)),1)&amp;".")),""))</f>
        <v/>
      </c>
      <c r="F14" s="16">
        <f>IF($B14="PAGADO",MID("ABCDEFGHIJ",INT(VALUE($A14)/100)+1,1)&amp;"-"&amp;$A14,"")</f>
        <v/>
      </c>
      <c r="G14" s="16">
        <f>IF($B14="PAGADO","PAGADO",IF($B14="APARTADO",IF(NOT(ISNUMBER($C14)),"APARTADO",IF($C14&lt;1,"APARTADO",IF(NOW()-$C14&gt;1,"LIBRE","APARTADO"))),"LIBRE"))</f>
        <v/>
      </c>
      <c r="H14" s="15">
        <f>IF($G14&lt;&gt;"APARTADO","",IF(NOT(ISNUMBER($C14)),"FALTA LA HORA",IF($C14&lt;1,"FALTA LA FECHA",TEXT($C14+1,"dd/mm hh:mm"))))</f>
        <v/>
      </c>
    </row>
    <row r="15">
      <c r="A15" s="13" t="inlineStr">
        <is>
          <t>013</t>
        </is>
      </c>
      <c r="B15" t="inlineStr">
        <is>
          <t>LIBRE</t>
        </is>
      </c>
      <c r="C15" s="14" t="n"/>
      <c r="E15" s="15">
        <f>IF($G15&lt;&gt;"PAGADO","",IFERROR(IF(VLOOKUP($A15,COMPRADORES!$A:$D,4,FALSE)="NO","Reservado",LEFT(VLOOKUP($A15,COMPRADORES!$A:$D,2,FALSE),3)&amp;"***"&amp;IF(TRIM(MID(VLOOKUP($A15,COMPRADORES!$A:$D,2,FALSE)&amp;" ",FIND(" ",VLOOKUP($A15,COMPRADORES!$A:$D,2,FALSE)&amp;" ")+1,99))="",""," "&amp;LEFT(TRIM(MID(VLOOKUP($A15,COMPRADORES!$A:$D,2,FALSE)&amp;" ",FIND(" ",VLOOKUP($A15,COMPRADORES!$A:$D,2,FALSE)&amp;" ")+1,99)),1)&amp;".")),""))</f>
        <v/>
      </c>
      <c r="F15" s="16">
        <f>IF($B15="PAGADO",MID("ABCDEFGHIJ",INT(VALUE($A15)/100)+1,1)&amp;"-"&amp;$A15,"")</f>
        <v/>
      </c>
      <c r="G15" s="16">
        <f>IF($B15="PAGADO","PAGADO",IF($B15="APARTADO",IF(NOT(ISNUMBER($C15)),"APARTADO",IF($C15&lt;1,"APARTADO",IF(NOW()-$C15&gt;1,"LIBRE","APARTADO"))),"LIBRE"))</f>
        <v/>
      </c>
      <c r="H15" s="15">
        <f>IF($G15&lt;&gt;"APARTADO","",IF(NOT(ISNUMBER($C15)),"FALTA LA HORA",IF($C15&lt;1,"FALTA LA FECHA",TEXT($C15+1,"dd/mm hh:mm"))))</f>
        <v/>
      </c>
    </row>
    <row r="16">
      <c r="A16" s="13" t="inlineStr">
        <is>
          <t>014</t>
        </is>
      </c>
      <c r="B16" t="inlineStr">
        <is>
          <t>LIBRE</t>
        </is>
      </c>
      <c r="C16" s="14" t="n"/>
      <c r="E16" s="15">
        <f>IF($G16&lt;&gt;"PAGADO","",IFERROR(IF(VLOOKUP($A16,COMPRADORES!$A:$D,4,FALSE)="NO","Reservado",LEFT(VLOOKUP($A16,COMPRADORES!$A:$D,2,FALSE),3)&amp;"***"&amp;IF(TRIM(MID(VLOOKUP($A16,COMPRADORES!$A:$D,2,FALSE)&amp;" ",FIND(" ",VLOOKUP($A16,COMPRADORES!$A:$D,2,FALSE)&amp;" ")+1,99))="",""," "&amp;LEFT(TRIM(MID(VLOOKUP($A16,COMPRADORES!$A:$D,2,FALSE)&amp;" ",FIND(" ",VLOOKUP($A16,COMPRADORES!$A:$D,2,FALSE)&amp;" ")+1,99)),1)&amp;".")),""))</f>
        <v/>
      </c>
      <c r="F16" s="16">
        <f>IF($B16="PAGADO",MID("ABCDEFGHIJ",INT(VALUE($A16)/100)+1,1)&amp;"-"&amp;$A16,"")</f>
        <v/>
      </c>
      <c r="G16" s="16">
        <f>IF($B16="PAGADO","PAGADO",IF($B16="APARTADO",IF(NOT(ISNUMBER($C16)),"APARTADO",IF($C16&lt;1,"APARTADO",IF(NOW()-$C16&gt;1,"LIBRE","APARTADO"))),"LIBRE"))</f>
        <v/>
      </c>
      <c r="H16" s="15">
        <f>IF($G16&lt;&gt;"APARTADO","",IF(NOT(ISNUMBER($C16)),"FALTA LA HORA",IF($C16&lt;1,"FALTA LA FECHA",TEXT($C16+1,"dd/mm hh:mm"))))</f>
        <v/>
      </c>
    </row>
    <row r="17">
      <c r="A17" s="13" t="inlineStr">
        <is>
          <t>015</t>
        </is>
      </c>
      <c r="B17" t="inlineStr">
        <is>
          <t>LIBRE</t>
        </is>
      </c>
      <c r="C17" s="14" t="n"/>
      <c r="E17" s="15">
        <f>IF($G17&lt;&gt;"PAGADO","",IFERROR(IF(VLOOKUP($A17,COMPRADORES!$A:$D,4,FALSE)="NO","Reservado",LEFT(VLOOKUP($A17,COMPRADORES!$A:$D,2,FALSE),3)&amp;"***"&amp;IF(TRIM(MID(VLOOKUP($A17,COMPRADORES!$A:$D,2,FALSE)&amp;" ",FIND(" ",VLOOKUP($A17,COMPRADORES!$A:$D,2,FALSE)&amp;" ")+1,99))="",""," "&amp;LEFT(TRIM(MID(VLOOKUP($A17,COMPRADORES!$A:$D,2,FALSE)&amp;" ",FIND(" ",VLOOKUP($A17,COMPRADORES!$A:$D,2,FALSE)&amp;" ")+1,99)),1)&amp;".")),""))</f>
        <v/>
      </c>
      <c r="F17" s="16">
        <f>IF($B17="PAGADO",MID("ABCDEFGHIJ",INT(VALUE($A17)/100)+1,1)&amp;"-"&amp;$A17,"")</f>
        <v/>
      </c>
      <c r="G17" s="16">
        <f>IF($B17="PAGADO","PAGADO",IF($B17="APARTADO",IF(NOT(ISNUMBER($C17)),"APARTADO",IF($C17&lt;1,"APARTADO",IF(NOW()-$C17&gt;1,"LIBRE","APARTADO"))),"LIBRE"))</f>
        <v/>
      </c>
      <c r="H17" s="15">
        <f>IF($G17&lt;&gt;"APARTADO","",IF(NOT(ISNUMBER($C17)),"FALTA LA HORA",IF($C17&lt;1,"FALTA LA FECHA",TEXT($C17+1,"dd/mm hh:mm"))))</f>
        <v/>
      </c>
    </row>
    <row r="18">
      <c r="A18" s="13" t="inlineStr">
        <is>
          <t>016</t>
        </is>
      </c>
      <c r="B18" t="inlineStr">
        <is>
          <t>LIBRE</t>
        </is>
      </c>
      <c r="C18" s="14" t="n"/>
      <c r="E18" s="15">
        <f>IF($G18&lt;&gt;"PAGADO","",IFERROR(IF(VLOOKUP($A18,COMPRADORES!$A:$D,4,FALSE)="NO","Reservado",LEFT(VLOOKUP($A18,COMPRADORES!$A:$D,2,FALSE),3)&amp;"***"&amp;IF(TRIM(MID(VLOOKUP($A18,COMPRADORES!$A:$D,2,FALSE)&amp;" ",FIND(" ",VLOOKUP($A18,COMPRADORES!$A:$D,2,FALSE)&amp;" ")+1,99))="",""," "&amp;LEFT(TRIM(MID(VLOOKUP($A18,COMPRADORES!$A:$D,2,FALSE)&amp;" ",FIND(" ",VLOOKUP($A18,COMPRADORES!$A:$D,2,FALSE)&amp;" ")+1,99)),1)&amp;".")),""))</f>
        <v/>
      </c>
      <c r="F18" s="16">
        <f>IF($B18="PAGADO",MID("ABCDEFGHIJ",INT(VALUE($A18)/100)+1,1)&amp;"-"&amp;$A18,"")</f>
        <v/>
      </c>
      <c r="G18" s="16">
        <f>IF($B18="PAGADO","PAGADO",IF($B18="APARTADO",IF(NOT(ISNUMBER($C18)),"APARTADO",IF($C18&lt;1,"APARTADO",IF(NOW()-$C18&gt;1,"LIBRE","APARTADO"))),"LIBRE"))</f>
        <v/>
      </c>
      <c r="H18" s="15">
        <f>IF($G18&lt;&gt;"APARTADO","",IF(NOT(ISNUMBER($C18)),"FALTA LA HORA",IF($C18&lt;1,"FALTA LA FECHA",TEXT($C18+1,"dd/mm hh:mm"))))</f>
        <v/>
      </c>
    </row>
    <row r="19">
      <c r="A19" s="13" t="inlineStr">
        <is>
          <t>017</t>
        </is>
      </c>
      <c r="B19" t="inlineStr">
        <is>
          <t>LIBRE</t>
        </is>
      </c>
      <c r="C19" s="14" t="n"/>
      <c r="E19" s="15">
        <f>IF($G19&lt;&gt;"PAGADO","",IFERROR(IF(VLOOKUP($A19,COMPRADORES!$A:$D,4,FALSE)="NO","Reservado",LEFT(VLOOKUP($A19,COMPRADORES!$A:$D,2,FALSE),3)&amp;"***"&amp;IF(TRIM(MID(VLOOKUP($A19,COMPRADORES!$A:$D,2,FALSE)&amp;" ",FIND(" ",VLOOKUP($A19,COMPRADORES!$A:$D,2,FALSE)&amp;" ")+1,99))="",""," "&amp;LEFT(TRIM(MID(VLOOKUP($A19,COMPRADORES!$A:$D,2,FALSE)&amp;" ",FIND(" ",VLOOKUP($A19,COMPRADORES!$A:$D,2,FALSE)&amp;" ")+1,99)),1)&amp;".")),""))</f>
        <v/>
      </c>
      <c r="F19" s="16">
        <f>IF($B19="PAGADO",MID("ABCDEFGHIJ",INT(VALUE($A19)/100)+1,1)&amp;"-"&amp;$A19,"")</f>
        <v/>
      </c>
      <c r="G19" s="16">
        <f>IF($B19="PAGADO","PAGADO",IF($B19="APARTADO",IF(NOT(ISNUMBER($C19)),"APARTADO",IF($C19&lt;1,"APARTADO",IF(NOW()-$C19&gt;1,"LIBRE","APARTADO"))),"LIBRE"))</f>
        <v/>
      </c>
      <c r="H19" s="15">
        <f>IF($G19&lt;&gt;"APARTADO","",IF(NOT(ISNUMBER($C19)),"FALTA LA HORA",IF($C19&lt;1,"FALTA LA FECHA",TEXT($C19+1,"dd/mm hh:mm"))))</f>
        <v/>
      </c>
    </row>
    <row r="20">
      <c r="A20" s="13" t="inlineStr">
        <is>
          <t>018</t>
        </is>
      </c>
      <c r="B20" t="inlineStr">
        <is>
          <t>LIBRE</t>
        </is>
      </c>
      <c r="C20" s="14" t="n"/>
      <c r="E20" s="15">
        <f>IF($G20&lt;&gt;"PAGADO","",IFERROR(IF(VLOOKUP($A20,COMPRADORES!$A:$D,4,FALSE)="NO","Reservado",LEFT(VLOOKUP($A20,COMPRADORES!$A:$D,2,FALSE),3)&amp;"***"&amp;IF(TRIM(MID(VLOOKUP($A20,COMPRADORES!$A:$D,2,FALSE)&amp;" ",FIND(" ",VLOOKUP($A20,COMPRADORES!$A:$D,2,FALSE)&amp;" ")+1,99))="",""," "&amp;LEFT(TRIM(MID(VLOOKUP($A20,COMPRADORES!$A:$D,2,FALSE)&amp;" ",FIND(" ",VLOOKUP($A20,COMPRADORES!$A:$D,2,FALSE)&amp;" ")+1,99)),1)&amp;".")),""))</f>
        <v/>
      </c>
      <c r="F20" s="16">
        <f>IF($B20="PAGADO",MID("ABCDEFGHIJ",INT(VALUE($A20)/100)+1,1)&amp;"-"&amp;$A20,"")</f>
        <v/>
      </c>
      <c r="G20" s="16">
        <f>IF($B20="PAGADO","PAGADO",IF($B20="APARTADO",IF(NOT(ISNUMBER($C20)),"APARTADO",IF($C20&lt;1,"APARTADO",IF(NOW()-$C20&gt;1,"LIBRE","APARTADO"))),"LIBRE"))</f>
        <v/>
      </c>
      <c r="H20" s="15">
        <f>IF($G20&lt;&gt;"APARTADO","",IF(NOT(ISNUMBER($C20)),"FALTA LA HORA",IF($C20&lt;1,"FALTA LA FECHA",TEXT($C20+1,"dd/mm hh:mm"))))</f>
        <v/>
      </c>
    </row>
    <row r="21">
      <c r="A21" s="13" t="inlineStr">
        <is>
          <t>019</t>
        </is>
      </c>
      <c r="B21" t="inlineStr">
        <is>
          <t>LIBRE</t>
        </is>
      </c>
      <c r="C21" s="14" t="n"/>
      <c r="E21" s="15">
        <f>IF($G21&lt;&gt;"PAGADO","",IFERROR(IF(VLOOKUP($A21,COMPRADORES!$A:$D,4,FALSE)="NO","Reservado",LEFT(VLOOKUP($A21,COMPRADORES!$A:$D,2,FALSE),3)&amp;"***"&amp;IF(TRIM(MID(VLOOKUP($A21,COMPRADORES!$A:$D,2,FALSE)&amp;" ",FIND(" ",VLOOKUP($A21,COMPRADORES!$A:$D,2,FALSE)&amp;" ")+1,99))="",""," "&amp;LEFT(TRIM(MID(VLOOKUP($A21,COMPRADORES!$A:$D,2,FALSE)&amp;" ",FIND(" ",VLOOKUP($A21,COMPRADORES!$A:$D,2,FALSE)&amp;" ")+1,99)),1)&amp;".")),""))</f>
        <v/>
      </c>
      <c r="F21" s="16">
        <f>IF($B21="PAGADO",MID("ABCDEFGHIJ",INT(VALUE($A21)/100)+1,1)&amp;"-"&amp;$A21,"")</f>
        <v/>
      </c>
      <c r="G21" s="16">
        <f>IF($B21="PAGADO","PAGADO",IF($B21="APARTADO",IF(NOT(ISNUMBER($C21)),"APARTADO",IF($C21&lt;1,"APARTADO",IF(NOW()-$C21&gt;1,"LIBRE","APARTADO"))),"LIBRE"))</f>
        <v/>
      </c>
      <c r="H21" s="15">
        <f>IF($G21&lt;&gt;"APARTADO","",IF(NOT(ISNUMBER($C21)),"FALTA LA HORA",IF($C21&lt;1,"FALTA LA FECHA",TEXT($C21+1,"dd/mm hh:mm"))))</f>
        <v/>
      </c>
    </row>
    <row r="22">
      <c r="A22" s="13" t="inlineStr">
        <is>
          <t>020</t>
        </is>
      </c>
      <c r="B22" t="inlineStr">
        <is>
          <t>LIBRE</t>
        </is>
      </c>
      <c r="C22" s="14" t="n"/>
      <c r="E22" s="15">
        <f>IF($G22&lt;&gt;"PAGADO","",IFERROR(IF(VLOOKUP($A22,COMPRADORES!$A:$D,4,FALSE)="NO","Reservado",LEFT(VLOOKUP($A22,COMPRADORES!$A:$D,2,FALSE),3)&amp;"***"&amp;IF(TRIM(MID(VLOOKUP($A22,COMPRADORES!$A:$D,2,FALSE)&amp;" ",FIND(" ",VLOOKUP($A22,COMPRADORES!$A:$D,2,FALSE)&amp;" ")+1,99))="",""," "&amp;LEFT(TRIM(MID(VLOOKUP($A22,COMPRADORES!$A:$D,2,FALSE)&amp;" ",FIND(" ",VLOOKUP($A22,COMPRADORES!$A:$D,2,FALSE)&amp;" ")+1,99)),1)&amp;".")),""))</f>
        <v/>
      </c>
      <c r="F22" s="16">
        <f>IF($B22="PAGADO",MID("ABCDEFGHIJ",INT(VALUE($A22)/100)+1,1)&amp;"-"&amp;$A22,"")</f>
        <v/>
      </c>
      <c r="G22" s="16">
        <f>IF($B22="PAGADO","PAGADO",IF($B22="APARTADO",IF(NOT(ISNUMBER($C22)),"APARTADO",IF($C22&lt;1,"APARTADO",IF(NOW()-$C22&gt;1,"LIBRE","APARTADO"))),"LIBRE"))</f>
        <v/>
      </c>
      <c r="H22" s="15">
        <f>IF($G22&lt;&gt;"APARTADO","",IF(NOT(ISNUMBER($C22)),"FALTA LA HORA",IF($C22&lt;1,"FALTA LA FECHA",TEXT($C22+1,"dd/mm hh:mm"))))</f>
        <v/>
      </c>
    </row>
    <row r="23">
      <c r="A23" s="13" t="inlineStr">
        <is>
          <t>021</t>
        </is>
      </c>
      <c r="B23" t="inlineStr">
        <is>
          <t>LIBRE</t>
        </is>
      </c>
      <c r="C23" s="14" t="n"/>
      <c r="E23" s="15">
        <f>IF($G23&lt;&gt;"PAGADO","",IFERROR(IF(VLOOKUP($A23,COMPRADORES!$A:$D,4,FALSE)="NO","Reservado",LEFT(VLOOKUP($A23,COMPRADORES!$A:$D,2,FALSE),3)&amp;"***"&amp;IF(TRIM(MID(VLOOKUP($A23,COMPRADORES!$A:$D,2,FALSE)&amp;" ",FIND(" ",VLOOKUP($A23,COMPRADORES!$A:$D,2,FALSE)&amp;" ")+1,99))="",""," "&amp;LEFT(TRIM(MID(VLOOKUP($A23,COMPRADORES!$A:$D,2,FALSE)&amp;" ",FIND(" ",VLOOKUP($A23,COMPRADORES!$A:$D,2,FALSE)&amp;" ")+1,99)),1)&amp;".")),""))</f>
        <v/>
      </c>
      <c r="F23" s="16">
        <f>IF($B23="PAGADO",MID("ABCDEFGHIJ",INT(VALUE($A23)/100)+1,1)&amp;"-"&amp;$A23,"")</f>
        <v/>
      </c>
      <c r="G23" s="16">
        <f>IF($B23="PAGADO","PAGADO",IF($B23="APARTADO",IF(NOT(ISNUMBER($C23)),"APARTADO",IF($C23&lt;1,"APARTADO",IF(NOW()-$C23&gt;1,"LIBRE","APARTADO"))),"LIBRE"))</f>
        <v/>
      </c>
      <c r="H23" s="15">
        <f>IF($G23&lt;&gt;"APARTADO","",IF(NOT(ISNUMBER($C23)),"FALTA LA HORA",IF($C23&lt;1,"FALTA LA FECHA",TEXT($C23+1,"dd/mm hh:mm"))))</f>
        <v/>
      </c>
    </row>
    <row r="24">
      <c r="A24" s="13" t="inlineStr">
        <is>
          <t>022</t>
        </is>
      </c>
      <c r="B24" t="inlineStr">
        <is>
          <t>LIBRE</t>
        </is>
      </c>
      <c r="C24" s="14" t="n"/>
      <c r="E24" s="15">
        <f>IF($G24&lt;&gt;"PAGADO","",IFERROR(IF(VLOOKUP($A24,COMPRADORES!$A:$D,4,FALSE)="NO","Reservado",LEFT(VLOOKUP($A24,COMPRADORES!$A:$D,2,FALSE),3)&amp;"***"&amp;IF(TRIM(MID(VLOOKUP($A24,COMPRADORES!$A:$D,2,FALSE)&amp;" ",FIND(" ",VLOOKUP($A24,COMPRADORES!$A:$D,2,FALSE)&amp;" ")+1,99))="",""," "&amp;LEFT(TRIM(MID(VLOOKUP($A24,COMPRADORES!$A:$D,2,FALSE)&amp;" ",FIND(" ",VLOOKUP($A24,COMPRADORES!$A:$D,2,FALSE)&amp;" ")+1,99)),1)&amp;".")),""))</f>
        <v/>
      </c>
      <c r="F24" s="16">
        <f>IF($B24="PAGADO",MID("ABCDEFGHIJ",INT(VALUE($A24)/100)+1,1)&amp;"-"&amp;$A24,"")</f>
        <v/>
      </c>
      <c r="G24" s="16">
        <f>IF($B24="PAGADO","PAGADO",IF($B24="APARTADO",IF(NOT(ISNUMBER($C24)),"APARTADO",IF($C24&lt;1,"APARTADO",IF(NOW()-$C24&gt;1,"LIBRE","APARTADO"))),"LIBRE"))</f>
        <v/>
      </c>
      <c r="H24" s="15">
        <f>IF($G24&lt;&gt;"APARTADO","",IF(NOT(ISNUMBER($C24)),"FALTA LA HORA",IF($C24&lt;1,"FALTA LA FECHA",TEXT($C24+1,"dd/mm hh:mm"))))</f>
        <v/>
      </c>
    </row>
    <row r="25">
      <c r="A25" s="13" t="inlineStr">
        <is>
          <t>023</t>
        </is>
      </c>
      <c r="B25" t="inlineStr">
        <is>
          <t>LIBRE</t>
        </is>
      </c>
      <c r="C25" s="14" t="n"/>
      <c r="E25" s="15">
        <f>IF($G25&lt;&gt;"PAGADO","",IFERROR(IF(VLOOKUP($A25,COMPRADORES!$A:$D,4,FALSE)="NO","Reservado",LEFT(VLOOKUP($A25,COMPRADORES!$A:$D,2,FALSE),3)&amp;"***"&amp;IF(TRIM(MID(VLOOKUP($A25,COMPRADORES!$A:$D,2,FALSE)&amp;" ",FIND(" ",VLOOKUP($A25,COMPRADORES!$A:$D,2,FALSE)&amp;" ")+1,99))="",""," "&amp;LEFT(TRIM(MID(VLOOKUP($A25,COMPRADORES!$A:$D,2,FALSE)&amp;" ",FIND(" ",VLOOKUP($A25,COMPRADORES!$A:$D,2,FALSE)&amp;" ")+1,99)),1)&amp;".")),""))</f>
        <v/>
      </c>
      <c r="F25" s="16">
        <f>IF($B25="PAGADO",MID("ABCDEFGHIJ",INT(VALUE($A25)/100)+1,1)&amp;"-"&amp;$A25,"")</f>
        <v/>
      </c>
      <c r="G25" s="16">
        <f>IF($B25="PAGADO","PAGADO",IF($B25="APARTADO",IF(NOT(ISNUMBER($C25)),"APARTADO",IF($C25&lt;1,"APARTADO",IF(NOW()-$C25&gt;1,"LIBRE","APARTADO"))),"LIBRE"))</f>
        <v/>
      </c>
      <c r="H25" s="15">
        <f>IF($G25&lt;&gt;"APARTADO","",IF(NOT(ISNUMBER($C25)),"FALTA LA HORA",IF($C25&lt;1,"FALTA LA FECHA",TEXT($C25+1,"dd/mm hh:mm"))))</f>
        <v/>
      </c>
    </row>
    <row r="26">
      <c r="A26" s="13" t="inlineStr">
        <is>
          <t>024</t>
        </is>
      </c>
      <c r="B26" t="inlineStr">
        <is>
          <t>LIBRE</t>
        </is>
      </c>
      <c r="C26" s="14" t="n"/>
      <c r="E26" s="15">
        <f>IF($G26&lt;&gt;"PAGADO","",IFERROR(IF(VLOOKUP($A26,COMPRADORES!$A:$D,4,FALSE)="NO","Reservado",LEFT(VLOOKUP($A26,COMPRADORES!$A:$D,2,FALSE),3)&amp;"***"&amp;IF(TRIM(MID(VLOOKUP($A26,COMPRADORES!$A:$D,2,FALSE)&amp;" ",FIND(" ",VLOOKUP($A26,COMPRADORES!$A:$D,2,FALSE)&amp;" ")+1,99))="",""," "&amp;LEFT(TRIM(MID(VLOOKUP($A26,COMPRADORES!$A:$D,2,FALSE)&amp;" ",FIND(" ",VLOOKUP($A26,COMPRADORES!$A:$D,2,FALSE)&amp;" ")+1,99)),1)&amp;".")),""))</f>
        <v/>
      </c>
      <c r="F26" s="16">
        <f>IF($B26="PAGADO",MID("ABCDEFGHIJ",INT(VALUE($A26)/100)+1,1)&amp;"-"&amp;$A26,"")</f>
        <v/>
      </c>
      <c r="G26" s="16">
        <f>IF($B26="PAGADO","PAGADO",IF($B26="APARTADO",IF(NOT(ISNUMBER($C26)),"APARTADO",IF($C26&lt;1,"APARTADO",IF(NOW()-$C26&gt;1,"LIBRE","APARTADO"))),"LIBRE"))</f>
        <v/>
      </c>
      <c r="H26" s="15">
        <f>IF($G26&lt;&gt;"APARTADO","",IF(NOT(ISNUMBER($C26)),"FALTA LA HORA",IF($C26&lt;1,"FALTA LA FECHA",TEXT($C26+1,"dd/mm hh:mm"))))</f>
        <v/>
      </c>
    </row>
    <row r="27">
      <c r="A27" s="13" t="inlineStr">
        <is>
          <t>025</t>
        </is>
      </c>
      <c r="B27" t="inlineStr">
        <is>
          <t>LIBRE</t>
        </is>
      </c>
      <c r="C27" s="14" t="n"/>
      <c r="E27" s="15">
        <f>IF($G27&lt;&gt;"PAGADO","",IFERROR(IF(VLOOKUP($A27,COMPRADORES!$A:$D,4,FALSE)="NO","Reservado",LEFT(VLOOKUP($A27,COMPRADORES!$A:$D,2,FALSE),3)&amp;"***"&amp;IF(TRIM(MID(VLOOKUP($A27,COMPRADORES!$A:$D,2,FALSE)&amp;" ",FIND(" ",VLOOKUP($A27,COMPRADORES!$A:$D,2,FALSE)&amp;" ")+1,99))="",""," "&amp;LEFT(TRIM(MID(VLOOKUP($A27,COMPRADORES!$A:$D,2,FALSE)&amp;" ",FIND(" ",VLOOKUP($A27,COMPRADORES!$A:$D,2,FALSE)&amp;" ")+1,99)),1)&amp;".")),""))</f>
        <v/>
      </c>
      <c r="F27" s="16">
        <f>IF($B27="PAGADO",MID("ABCDEFGHIJ",INT(VALUE($A27)/100)+1,1)&amp;"-"&amp;$A27,"")</f>
        <v/>
      </c>
      <c r="G27" s="16">
        <f>IF($B27="PAGADO","PAGADO",IF($B27="APARTADO",IF(NOT(ISNUMBER($C27)),"APARTADO",IF($C27&lt;1,"APARTADO",IF(NOW()-$C27&gt;1,"LIBRE","APARTADO"))),"LIBRE"))</f>
        <v/>
      </c>
      <c r="H27" s="15">
        <f>IF($G27&lt;&gt;"APARTADO","",IF(NOT(ISNUMBER($C27)),"FALTA LA HORA",IF($C27&lt;1,"FALTA LA FECHA",TEXT($C27+1,"dd/mm hh:mm"))))</f>
        <v/>
      </c>
    </row>
    <row r="28">
      <c r="A28" s="13" t="inlineStr">
        <is>
          <t>026</t>
        </is>
      </c>
      <c r="B28" t="inlineStr">
        <is>
          <t>LIBRE</t>
        </is>
      </c>
      <c r="C28" s="14" t="n"/>
      <c r="E28" s="15">
        <f>IF($G28&lt;&gt;"PAGADO","",IFERROR(IF(VLOOKUP($A28,COMPRADORES!$A:$D,4,FALSE)="NO","Reservado",LEFT(VLOOKUP($A28,COMPRADORES!$A:$D,2,FALSE),3)&amp;"***"&amp;IF(TRIM(MID(VLOOKUP($A28,COMPRADORES!$A:$D,2,FALSE)&amp;" ",FIND(" ",VLOOKUP($A28,COMPRADORES!$A:$D,2,FALSE)&amp;" ")+1,99))="",""," "&amp;LEFT(TRIM(MID(VLOOKUP($A28,COMPRADORES!$A:$D,2,FALSE)&amp;" ",FIND(" ",VLOOKUP($A28,COMPRADORES!$A:$D,2,FALSE)&amp;" ")+1,99)),1)&amp;".")),""))</f>
        <v/>
      </c>
      <c r="F28" s="16">
        <f>IF($B28="PAGADO",MID("ABCDEFGHIJ",INT(VALUE($A28)/100)+1,1)&amp;"-"&amp;$A28,"")</f>
        <v/>
      </c>
      <c r="G28" s="16">
        <f>IF($B28="PAGADO","PAGADO",IF($B28="APARTADO",IF(NOT(ISNUMBER($C28)),"APARTADO",IF($C28&lt;1,"APARTADO",IF(NOW()-$C28&gt;1,"LIBRE","APARTADO"))),"LIBRE"))</f>
        <v/>
      </c>
      <c r="H28" s="15">
        <f>IF($G28&lt;&gt;"APARTADO","",IF(NOT(ISNUMBER($C28)),"FALTA LA HORA",IF($C28&lt;1,"FALTA LA FECHA",TEXT($C28+1,"dd/mm hh:mm"))))</f>
        <v/>
      </c>
    </row>
    <row r="29">
      <c r="A29" s="13" t="inlineStr">
        <is>
          <t>027</t>
        </is>
      </c>
      <c r="B29" t="inlineStr">
        <is>
          <t>LIBRE</t>
        </is>
      </c>
      <c r="C29" s="14" t="n"/>
      <c r="E29" s="15">
        <f>IF($G29&lt;&gt;"PAGADO","",IFERROR(IF(VLOOKUP($A29,COMPRADORES!$A:$D,4,FALSE)="NO","Reservado",LEFT(VLOOKUP($A29,COMPRADORES!$A:$D,2,FALSE),3)&amp;"***"&amp;IF(TRIM(MID(VLOOKUP($A29,COMPRADORES!$A:$D,2,FALSE)&amp;" ",FIND(" ",VLOOKUP($A29,COMPRADORES!$A:$D,2,FALSE)&amp;" ")+1,99))="",""," "&amp;LEFT(TRIM(MID(VLOOKUP($A29,COMPRADORES!$A:$D,2,FALSE)&amp;" ",FIND(" ",VLOOKUP($A29,COMPRADORES!$A:$D,2,FALSE)&amp;" ")+1,99)),1)&amp;".")),""))</f>
        <v/>
      </c>
      <c r="F29" s="16">
        <f>IF($B29="PAGADO",MID("ABCDEFGHIJ",INT(VALUE($A29)/100)+1,1)&amp;"-"&amp;$A29,"")</f>
        <v/>
      </c>
      <c r="G29" s="16">
        <f>IF($B29="PAGADO","PAGADO",IF($B29="APARTADO",IF(NOT(ISNUMBER($C29)),"APARTADO",IF($C29&lt;1,"APARTADO",IF(NOW()-$C29&gt;1,"LIBRE","APARTADO"))),"LIBRE"))</f>
        <v/>
      </c>
      <c r="H29" s="15">
        <f>IF($G29&lt;&gt;"APARTADO","",IF(NOT(ISNUMBER($C29)),"FALTA LA HORA",IF($C29&lt;1,"FALTA LA FECHA",TEXT($C29+1,"dd/mm hh:mm"))))</f>
        <v/>
      </c>
    </row>
    <row r="30">
      <c r="A30" s="13" t="inlineStr">
        <is>
          <t>028</t>
        </is>
      </c>
      <c r="B30" t="inlineStr">
        <is>
          <t>LIBRE</t>
        </is>
      </c>
      <c r="C30" s="14" t="n"/>
      <c r="E30" s="15">
        <f>IF($G30&lt;&gt;"PAGADO","",IFERROR(IF(VLOOKUP($A30,COMPRADORES!$A:$D,4,FALSE)="NO","Reservado",LEFT(VLOOKUP($A30,COMPRADORES!$A:$D,2,FALSE),3)&amp;"***"&amp;IF(TRIM(MID(VLOOKUP($A30,COMPRADORES!$A:$D,2,FALSE)&amp;" ",FIND(" ",VLOOKUP($A30,COMPRADORES!$A:$D,2,FALSE)&amp;" ")+1,99))="",""," "&amp;LEFT(TRIM(MID(VLOOKUP($A30,COMPRADORES!$A:$D,2,FALSE)&amp;" ",FIND(" ",VLOOKUP($A30,COMPRADORES!$A:$D,2,FALSE)&amp;" ")+1,99)),1)&amp;".")),""))</f>
        <v/>
      </c>
      <c r="F30" s="16">
        <f>IF($B30="PAGADO",MID("ABCDEFGHIJ",INT(VALUE($A30)/100)+1,1)&amp;"-"&amp;$A30,"")</f>
        <v/>
      </c>
      <c r="G30" s="16">
        <f>IF($B30="PAGADO","PAGADO",IF($B30="APARTADO",IF(NOT(ISNUMBER($C30)),"APARTADO",IF($C30&lt;1,"APARTADO",IF(NOW()-$C30&gt;1,"LIBRE","APARTADO"))),"LIBRE"))</f>
        <v/>
      </c>
      <c r="H30" s="15">
        <f>IF($G30&lt;&gt;"APARTADO","",IF(NOT(ISNUMBER($C30)),"FALTA LA HORA",IF($C30&lt;1,"FALTA LA FECHA",TEXT($C30+1,"dd/mm hh:mm"))))</f>
        <v/>
      </c>
    </row>
    <row r="31">
      <c r="A31" s="13" t="inlineStr">
        <is>
          <t>029</t>
        </is>
      </c>
      <c r="B31" t="inlineStr">
        <is>
          <t>LIBRE</t>
        </is>
      </c>
      <c r="C31" s="14" t="n"/>
      <c r="E31" s="15">
        <f>IF($G31&lt;&gt;"PAGADO","",IFERROR(IF(VLOOKUP($A31,COMPRADORES!$A:$D,4,FALSE)="NO","Reservado",LEFT(VLOOKUP($A31,COMPRADORES!$A:$D,2,FALSE),3)&amp;"***"&amp;IF(TRIM(MID(VLOOKUP($A31,COMPRADORES!$A:$D,2,FALSE)&amp;" ",FIND(" ",VLOOKUP($A31,COMPRADORES!$A:$D,2,FALSE)&amp;" ")+1,99))="",""," "&amp;LEFT(TRIM(MID(VLOOKUP($A31,COMPRADORES!$A:$D,2,FALSE)&amp;" ",FIND(" ",VLOOKUP($A31,COMPRADORES!$A:$D,2,FALSE)&amp;" ")+1,99)),1)&amp;".")),""))</f>
        <v/>
      </c>
      <c r="F31" s="16">
        <f>IF($B31="PAGADO",MID("ABCDEFGHIJ",INT(VALUE($A31)/100)+1,1)&amp;"-"&amp;$A31,"")</f>
        <v/>
      </c>
      <c r="G31" s="16">
        <f>IF($B31="PAGADO","PAGADO",IF($B31="APARTADO",IF(NOT(ISNUMBER($C31)),"APARTADO",IF($C31&lt;1,"APARTADO",IF(NOW()-$C31&gt;1,"LIBRE","APARTADO"))),"LIBRE"))</f>
        <v/>
      </c>
      <c r="H31" s="15">
        <f>IF($G31&lt;&gt;"APARTADO","",IF(NOT(ISNUMBER($C31)),"FALTA LA HORA",IF($C31&lt;1,"FALTA LA FECHA",TEXT($C31+1,"dd/mm hh:mm"))))</f>
        <v/>
      </c>
    </row>
    <row r="32">
      <c r="A32" s="13" t="inlineStr">
        <is>
          <t>030</t>
        </is>
      </c>
      <c r="B32" t="inlineStr">
        <is>
          <t>LIBRE</t>
        </is>
      </c>
      <c r="C32" s="14" t="n"/>
      <c r="E32" s="15">
        <f>IF($G32&lt;&gt;"PAGADO","",IFERROR(IF(VLOOKUP($A32,COMPRADORES!$A:$D,4,FALSE)="NO","Reservado",LEFT(VLOOKUP($A32,COMPRADORES!$A:$D,2,FALSE),3)&amp;"***"&amp;IF(TRIM(MID(VLOOKUP($A32,COMPRADORES!$A:$D,2,FALSE)&amp;" ",FIND(" ",VLOOKUP($A32,COMPRADORES!$A:$D,2,FALSE)&amp;" ")+1,99))="",""," "&amp;LEFT(TRIM(MID(VLOOKUP($A32,COMPRADORES!$A:$D,2,FALSE)&amp;" ",FIND(" ",VLOOKUP($A32,COMPRADORES!$A:$D,2,FALSE)&amp;" ")+1,99)),1)&amp;".")),""))</f>
        <v/>
      </c>
      <c r="F32" s="16">
        <f>IF($B32="PAGADO",MID("ABCDEFGHIJ",INT(VALUE($A32)/100)+1,1)&amp;"-"&amp;$A32,"")</f>
        <v/>
      </c>
      <c r="G32" s="16">
        <f>IF($B32="PAGADO","PAGADO",IF($B32="APARTADO",IF(NOT(ISNUMBER($C32)),"APARTADO",IF($C32&lt;1,"APARTADO",IF(NOW()-$C32&gt;1,"LIBRE","APARTADO"))),"LIBRE"))</f>
        <v/>
      </c>
      <c r="H32" s="15">
        <f>IF($G32&lt;&gt;"APARTADO","",IF(NOT(ISNUMBER($C32)),"FALTA LA HORA",IF($C32&lt;1,"FALTA LA FECHA",TEXT($C32+1,"dd/mm hh:mm"))))</f>
        <v/>
      </c>
    </row>
    <row r="33">
      <c r="A33" s="13" t="inlineStr">
        <is>
          <t>031</t>
        </is>
      </c>
      <c r="B33" t="inlineStr">
        <is>
          <t>LIBRE</t>
        </is>
      </c>
      <c r="C33" s="14" t="n"/>
      <c r="E33" s="15">
        <f>IF($G33&lt;&gt;"PAGADO","",IFERROR(IF(VLOOKUP($A33,COMPRADORES!$A:$D,4,FALSE)="NO","Reservado",LEFT(VLOOKUP($A33,COMPRADORES!$A:$D,2,FALSE),3)&amp;"***"&amp;IF(TRIM(MID(VLOOKUP($A33,COMPRADORES!$A:$D,2,FALSE)&amp;" ",FIND(" ",VLOOKUP($A33,COMPRADORES!$A:$D,2,FALSE)&amp;" ")+1,99))="",""," "&amp;LEFT(TRIM(MID(VLOOKUP($A33,COMPRADORES!$A:$D,2,FALSE)&amp;" ",FIND(" ",VLOOKUP($A33,COMPRADORES!$A:$D,2,FALSE)&amp;" ")+1,99)),1)&amp;".")),""))</f>
        <v/>
      </c>
      <c r="F33" s="16">
        <f>IF($B33="PAGADO",MID("ABCDEFGHIJ",INT(VALUE($A33)/100)+1,1)&amp;"-"&amp;$A33,"")</f>
        <v/>
      </c>
      <c r="G33" s="16">
        <f>IF($B33="PAGADO","PAGADO",IF($B33="APARTADO",IF(NOT(ISNUMBER($C33)),"APARTADO",IF($C33&lt;1,"APARTADO",IF(NOW()-$C33&gt;1,"LIBRE","APARTADO"))),"LIBRE"))</f>
        <v/>
      </c>
      <c r="H33" s="15">
        <f>IF($G33&lt;&gt;"APARTADO","",IF(NOT(ISNUMBER($C33)),"FALTA LA HORA",IF($C33&lt;1,"FALTA LA FECHA",TEXT($C33+1,"dd/mm hh:mm"))))</f>
        <v/>
      </c>
    </row>
    <row r="34">
      <c r="A34" s="13" t="inlineStr">
        <is>
          <t>032</t>
        </is>
      </c>
      <c r="B34" t="inlineStr">
        <is>
          <t>LIBRE</t>
        </is>
      </c>
      <c r="C34" s="14" t="n"/>
      <c r="E34" s="15">
        <f>IF($G34&lt;&gt;"PAGADO","",IFERROR(IF(VLOOKUP($A34,COMPRADORES!$A:$D,4,FALSE)="NO","Reservado",LEFT(VLOOKUP($A34,COMPRADORES!$A:$D,2,FALSE),3)&amp;"***"&amp;IF(TRIM(MID(VLOOKUP($A34,COMPRADORES!$A:$D,2,FALSE)&amp;" ",FIND(" ",VLOOKUP($A34,COMPRADORES!$A:$D,2,FALSE)&amp;" ")+1,99))="",""," "&amp;LEFT(TRIM(MID(VLOOKUP($A34,COMPRADORES!$A:$D,2,FALSE)&amp;" ",FIND(" ",VLOOKUP($A34,COMPRADORES!$A:$D,2,FALSE)&amp;" ")+1,99)),1)&amp;".")),""))</f>
        <v/>
      </c>
      <c r="F34" s="16">
        <f>IF($B34="PAGADO",MID("ABCDEFGHIJ",INT(VALUE($A34)/100)+1,1)&amp;"-"&amp;$A34,"")</f>
        <v/>
      </c>
      <c r="G34" s="16">
        <f>IF($B34="PAGADO","PAGADO",IF($B34="APARTADO",IF(NOT(ISNUMBER($C34)),"APARTADO",IF($C34&lt;1,"APARTADO",IF(NOW()-$C34&gt;1,"LIBRE","APARTADO"))),"LIBRE"))</f>
        <v/>
      </c>
      <c r="H34" s="15">
        <f>IF($G34&lt;&gt;"APARTADO","",IF(NOT(ISNUMBER($C34)),"FALTA LA HORA",IF($C34&lt;1,"FALTA LA FECHA",TEXT($C34+1,"dd/mm hh:mm"))))</f>
        <v/>
      </c>
    </row>
    <row r="35">
      <c r="A35" s="13" t="inlineStr">
        <is>
          <t>033</t>
        </is>
      </c>
      <c r="B35" t="inlineStr">
        <is>
          <t>LIBRE</t>
        </is>
      </c>
      <c r="C35" s="14" t="n"/>
      <c r="E35" s="15">
        <f>IF($G35&lt;&gt;"PAGADO","",IFERROR(IF(VLOOKUP($A35,COMPRADORES!$A:$D,4,FALSE)="NO","Reservado",LEFT(VLOOKUP($A35,COMPRADORES!$A:$D,2,FALSE),3)&amp;"***"&amp;IF(TRIM(MID(VLOOKUP($A35,COMPRADORES!$A:$D,2,FALSE)&amp;" ",FIND(" ",VLOOKUP($A35,COMPRADORES!$A:$D,2,FALSE)&amp;" ")+1,99))="",""," "&amp;LEFT(TRIM(MID(VLOOKUP($A35,COMPRADORES!$A:$D,2,FALSE)&amp;" ",FIND(" ",VLOOKUP($A35,COMPRADORES!$A:$D,2,FALSE)&amp;" ")+1,99)),1)&amp;".")),""))</f>
        <v/>
      </c>
      <c r="F35" s="16">
        <f>IF($B35="PAGADO",MID("ABCDEFGHIJ",INT(VALUE($A35)/100)+1,1)&amp;"-"&amp;$A35,"")</f>
        <v/>
      </c>
      <c r="G35" s="16">
        <f>IF($B35="PAGADO","PAGADO",IF($B35="APARTADO",IF(NOT(ISNUMBER($C35)),"APARTADO",IF($C35&lt;1,"APARTADO",IF(NOW()-$C35&gt;1,"LIBRE","APARTADO"))),"LIBRE"))</f>
        <v/>
      </c>
      <c r="H35" s="15">
        <f>IF($G35&lt;&gt;"APARTADO","",IF(NOT(ISNUMBER($C35)),"FALTA LA HORA",IF($C35&lt;1,"FALTA LA FECHA",TEXT($C35+1,"dd/mm hh:mm"))))</f>
        <v/>
      </c>
    </row>
    <row r="36">
      <c r="A36" s="13" t="inlineStr">
        <is>
          <t>034</t>
        </is>
      </c>
      <c r="B36" t="inlineStr">
        <is>
          <t>LIBRE</t>
        </is>
      </c>
      <c r="C36" s="14" t="n"/>
      <c r="E36" s="15">
        <f>IF($G36&lt;&gt;"PAGADO","",IFERROR(IF(VLOOKUP($A36,COMPRADORES!$A:$D,4,FALSE)="NO","Reservado",LEFT(VLOOKUP($A36,COMPRADORES!$A:$D,2,FALSE),3)&amp;"***"&amp;IF(TRIM(MID(VLOOKUP($A36,COMPRADORES!$A:$D,2,FALSE)&amp;" ",FIND(" ",VLOOKUP($A36,COMPRADORES!$A:$D,2,FALSE)&amp;" ")+1,99))="",""," "&amp;LEFT(TRIM(MID(VLOOKUP($A36,COMPRADORES!$A:$D,2,FALSE)&amp;" ",FIND(" ",VLOOKUP($A36,COMPRADORES!$A:$D,2,FALSE)&amp;" ")+1,99)),1)&amp;".")),""))</f>
        <v/>
      </c>
      <c r="F36" s="16">
        <f>IF($B36="PAGADO",MID("ABCDEFGHIJ",INT(VALUE($A36)/100)+1,1)&amp;"-"&amp;$A36,"")</f>
        <v/>
      </c>
      <c r="G36" s="16">
        <f>IF($B36="PAGADO","PAGADO",IF($B36="APARTADO",IF(NOT(ISNUMBER($C36)),"APARTADO",IF($C36&lt;1,"APARTADO",IF(NOW()-$C36&gt;1,"LIBRE","APARTADO"))),"LIBRE"))</f>
        <v/>
      </c>
      <c r="H36" s="15">
        <f>IF($G36&lt;&gt;"APARTADO","",IF(NOT(ISNUMBER($C36)),"FALTA LA HORA",IF($C36&lt;1,"FALTA LA FECHA",TEXT($C36+1,"dd/mm hh:mm"))))</f>
        <v/>
      </c>
    </row>
    <row r="37">
      <c r="A37" s="13" t="inlineStr">
        <is>
          <t>035</t>
        </is>
      </c>
      <c r="B37" t="inlineStr">
        <is>
          <t>LIBRE</t>
        </is>
      </c>
      <c r="C37" s="14" t="n"/>
      <c r="E37" s="15">
        <f>IF($G37&lt;&gt;"PAGADO","",IFERROR(IF(VLOOKUP($A37,COMPRADORES!$A:$D,4,FALSE)="NO","Reservado",LEFT(VLOOKUP($A37,COMPRADORES!$A:$D,2,FALSE),3)&amp;"***"&amp;IF(TRIM(MID(VLOOKUP($A37,COMPRADORES!$A:$D,2,FALSE)&amp;" ",FIND(" ",VLOOKUP($A37,COMPRADORES!$A:$D,2,FALSE)&amp;" ")+1,99))="",""," "&amp;LEFT(TRIM(MID(VLOOKUP($A37,COMPRADORES!$A:$D,2,FALSE)&amp;" ",FIND(" ",VLOOKUP($A37,COMPRADORES!$A:$D,2,FALSE)&amp;" ")+1,99)),1)&amp;".")),""))</f>
        <v/>
      </c>
      <c r="F37" s="16">
        <f>IF($B37="PAGADO",MID("ABCDEFGHIJ",INT(VALUE($A37)/100)+1,1)&amp;"-"&amp;$A37,"")</f>
        <v/>
      </c>
      <c r="G37" s="16">
        <f>IF($B37="PAGADO","PAGADO",IF($B37="APARTADO",IF(NOT(ISNUMBER($C37)),"APARTADO",IF($C37&lt;1,"APARTADO",IF(NOW()-$C37&gt;1,"LIBRE","APARTADO"))),"LIBRE"))</f>
        <v/>
      </c>
      <c r="H37" s="15">
        <f>IF($G37&lt;&gt;"APARTADO","",IF(NOT(ISNUMBER($C37)),"FALTA LA HORA",IF($C37&lt;1,"FALTA LA FECHA",TEXT($C37+1,"dd/mm hh:mm"))))</f>
        <v/>
      </c>
    </row>
    <row r="38">
      <c r="A38" s="13" t="inlineStr">
        <is>
          <t>036</t>
        </is>
      </c>
      <c r="B38" t="inlineStr">
        <is>
          <t>LIBRE</t>
        </is>
      </c>
      <c r="C38" s="14" t="n"/>
      <c r="E38" s="15">
        <f>IF($G38&lt;&gt;"PAGADO","",IFERROR(IF(VLOOKUP($A38,COMPRADORES!$A:$D,4,FALSE)="NO","Reservado",LEFT(VLOOKUP($A38,COMPRADORES!$A:$D,2,FALSE),3)&amp;"***"&amp;IF(TRIM(MID(VLOOKUP($A38,COMPRADORES!$A:$D,2,FALSE)&amp;" ",FIND(" ",VLOOKUP($A38,COMPRADORES!$A:$D,2,FALSE)&amp;" ")+1,99))="",""," "&amp;LEFT(TRIM(MID(VLOOKUP($A38,COMPRADORES!$A:$D,2,FALSE)&amp;" ",FIND(" ",VLOOKUP($A38,COMPRADORES!$A:$D,2,FALSE)&amp;" ")+1,99)),1)&amp;".")),""))</f>
        <v/>
      </c>
      <c r="F38" s="16">
        <f>IF($B38="PAGADO",MID("ABCDEFGHIJ",INT(VALUE($A38)/100)+1,1)&amp;"-"&amp;$A38,"")</f>
        <v/>
      </c>
      <c r="G38" s="16">
        <f>IF($B38="PAGADO","PAGADO",IF($B38="APARTADO",IF(NOT(ISNUMBER($C38)),"APARTADO",IF($C38&lt;1,"APARTADO",IF(NOW()-$C38&gt;1,"LIBRE","APARTADO"))),"LIBRE"))</f>
        <v/>
      </c>
      <c r="H38" s="15">
        <f>IF($G38&lt;&gt;"APARTADO","",IF(NOT(ISNUMBER($C38)),"FALTA LA HORA",IF($C38&lt;1,"FALTA LA FECHA",TEXT($C38+1,"dd/mm hh:mm"))))</f>
        <v/>
      </c>
    </row>
    <row r="39">
      <c r="A39" s="13" t="inlineStr">
        <is>
          <t>037</t>
        </is>
      </c>
      <c r="B39" t="inlineStr">
        <is>
          <t>LIBRE</t>
        </is>
      </c>
      <c r="C39" s="14" t="n"/>
      <c r="E39" s="15">
        <f>IF($G39&lt;&gt;"PAGADO","",IFERROR(IF(VLOOKUP($A39,COMPRADORES!$A:$D,4,FALSE)="NO","Reservado",LEFT(VLOOKUP($A39,COMPRADORES!$A:$D,2,FALSE),3)&amp;"***"&amp;IF(TRIM(MID(VLOOKUP($A39,COMPRADORES!$A:$D,2,FALSE)&amp;" ",FIND(" ",VLOOKUP($A39,COMPRADORES!$A:$D,2,FALSE)&amp;" ")+1,99))="",""," "&amp;LEFT(TRIM(MID(VLOOKUP($A39,COMPRADORES!$A:$D,2,FALSE)&amp;" ",FIND(" ",VLOOKUP($A39,COMPRADORES!$A:$D,2,FALSE)&amp;" ")+1,99)),1)&amp;".")),""))</f>
        <v/>
      </c>
      <c r="F39" s="16">
        <f>IF($B39="PAGADO",MID("ABCDEFGHIJ",INT(VALUE($A39)/100)+1,1)&amp;"-"&amp;$A39,"")</f>
        <v/>
      </c>
      <c r="G39" s="16">
        <f>IF($B39="PAGADO","PAGADO",IF($B39="APARTADO",IF(NOT(ISNUMBER($C39)),"APARTADO",IF($C39&lt;1,"APARTADO",IF(NOW()-$C39&gt;1,"LIBRE","APARTADO"))),"LIBRE"))</f>
        <v/>
      </c>
      <c r="H39" s="15">
        <f>IF($G39&lt;&gt;"APARTADO","",IF(NOT(ISNUMBER($C39)),"FALTA LA HORA",IF($C39&lt;1,"FALTA LA FECHA",TEXT($C39+1,"dd/mm hh:mm"))))</f>
        <v/>
      </c>
    </row>
    <row r="40">
      <c r="A40" s="13" t="inlineStr">
        <is>
          <t>038</t>
        </is>
      </c>
      <c r="B40" t="inlineStr">
        <is>
          <t>LIBRE</t>
        </is>
      </c>
      <c r="C40" s="14" t="n"/>
      <c r="E40" s="15">
        <f>IF($G40&lt;&gt;"PAGADO","",IFERROR(IF(VLOOKUP($A40,COMPRADORES!$A:$D,4,FALSE)="NO","Reservado",LEFT(VLOOKUP($A40,COMPRADORES!$A:$D,2,FALSE),3)&amp;"***"&amp;IF(TRIM(MID(VLOOKUP($A40,COMPRADORES!$A:$D,2,FALSE)&amp;" ",FIND(" ",VLOOKUP($A40,COMPRADORES!$A:$D,2,FALSE)&amp;" ")+1,99))="",""," "&amp;LEFT(TRIM(MID(VLOOKUP($A40,COMPRADORES!$A:$D,2,FALSE)&amp;" ",FIND(" ",VLOOKUP($A40,COMPRADORES!$A:$D,2,FALSE)&amp;" ")+1,99)),1)&amp;".")),""))</f>
        <v/>
      </c>
      <c r="F40" s="16">
        <f>IF($B40="PAGADO",MID("ABCDEFGHIJ",INT(VALUE($A40)/100)+1,1)&amp;"-"&amp;$A40,"")</f>
        <v/>
      </c>
      <c r="G40" s="16">
        <f>IF($B40="PAGADO","PAGADO",IF($B40="APARTADO",IF(NOT(ISNUMBER($C40)),"APARTADO",IF($C40&lt;1,"APARTADO",IF(NOW()-$C40&gt;1,"LIBRE","APARTADO"))),"LIBRE"))</f>
        <v/>
      </c>
      <c r="H40" s="15">
        <f>IF($G40&lt;&gt;"APARTADO","",IF(NOT(ISNUMBER($C40)),"FALTA LA HORA",IF($C40&lt;1,"FALTA LA FECHA",TEXT($C40+1,"dd/mm hh:mm"))))</f>
        <v/>
      </c>
    </row>
    <row r="41">
      <c r="A41" s="13" t="inlineStr">
        <is>
          <t>039</t>
        </is>
      </c>
      <c r="B41" t="inlineStr">
        <is>
          <t>LIBRE</t>
        </is>
      </c>
      <c r="C41" s="14" t="n"/>
      <c r="E41" s="15">
        <f>IF($G41&lt;&gt;"PAGADO","",IFERROR(IF(VLOOKUP($A41,COMPRADORES!$A:$D,4,FALSE)="NO","Reservado",LEFT(VLOOKUP($A41,COMPRADORES!$A:$D,2,FALSE),3)&amp;"***"&amp;IF(TRIM(MID(VLOOKUP($A41,COMPRADORES!$A:$D,2,FALSE)&amp;" ",FIND(" ",VLOOKUP($A41,COMPRADORES!$A:$D,2,FALSE)&amp;" ")+1,99))="",""," "&amp;LEFT(TRIM(MID(VLOOKUP($A41,COMPRADORES!$A:$D,2,FALSE)&amp;" ",FIND(" ",VLOOKUP($A41,COMPRADORES!$A:$D,2,FALSE)&amp;" ")+1,99)),1)&amp;".")),""))</f>
        <v/>
      </c>
      <c r="F41" s="16">
        <f>IF($B41="PAGADO",MID("ABCDEFGHIJ",INT(VALUE($A41)/100)+1,1)&amp;"-"&amp;$A41,"")</f>
        <v/>
      </c>
      <c r="G41" s="16">
        <f>IF($B41="PAGADO","PAGADO",IF($B41="APARTADO",IF(NOT(ISNUMBER($C41)),"APARTADO",IF($C41&lt;1,"APARTADO",IF(NOW()-$C41&gt;1,"LIBRE","APARTADO"))),"LIBRE"))</f>
        <v/>
      </c>
      <c r="H41" s="15">
        <f>IF($G41&lt;&gt;"APARTADO","",IF(NOT(ISNUMBER($C41)),"FALTA LA HORA",IF($C41&lt;1,"FALTA LA FECHA",TEXT($C41+1,"dd/mm hh:mm"))))</f>
        <v/>
      </c>
    </row>
    <row r="42">
      <c r="A42" s="13" t="inlineStr">
        <is>
          <t>040</t>
        </is>
      </c>
      <c r="B42" t="inlineStr">
        <is>
          <t>LIBRE</t>
        </is>
      </c>
      <c r="C42" s="14" t="n"/>
      <c r="E42" s="15">
        <f>IF($G42&lt;&gt;"PAGADO","",IFERROR(IF(VLOOKUP($A42,COMPRADORES!$A:$D,4,FALSE)="NO","Reservado",LEFT(VLOOKUP($A42,COMPRADORES!$A:$D,2,FALSE),3)&amp;"***"&amp;IF(TRIM(MID(VLOOKUP($A42,COMPRADORES!$A:$D,2,FALSE)&amp;" ",FIND(" ",VLOOKUP($A42,COMPRADORES!$A:$D,2,FALSE)&amp;" ")+1,99))="",""," "&amp;LEFT(TRIM(MID(VLOOKUP($A42,COMPRADORES!$A:$D,2,FALSE)&amp;" ",FIND(" ",VLOOKUP($A42,COMPRADORES!$A:$D,2,FALSE)&amp;" ")+1,99)),1)&amp;".")),""))</f>
        <v/>
      </c>
      <c r="F42" s="16">
        <f>IF($B42="PAGADO",MID("ABCDEFGHIJ",INT(VALUE($A42)/100)+1,1)&amp;"-"&amp;$A42,"")</f>
        <v/>
      </c>
      <c r="G42" s="16">
        <f>IF($B42="PAGADO","PAGADO",IF($B42="APARTADO",IF(NOT(ISNUMBER($C42)),"APARTADO",IF($C42&lt;1,"APARTADO",IF(NOW()-$C42&gt;1,"LIBRE","APARTADO"))),"LIBRE"))</f>
        <v/>
      </c>
      <c r="H42" s="15">
        <f>IF($G42&lt;&gt;"APARTADO","",IF(NOT(ISNUMBER($C42)),"FALTA LA HORA",IF($C42&lt;1,"FALTA LA FECHA",TEXT($C42+1,"dd/mm hh:mm"))))</f>
        <v/>
      </c>
    </row>
    <row r="43">
      <c r="A43" s="13" t="inlineStr">
        <is>
          <t>041</t>
        </is>
      </c>
      <c r="B43" t="inlineStr">
        <is>
          <t>LIBRE</t>
        </is>
      </c>
      <c r="C43" s="14" t="n"/>
      <c r="E43" s="15">
        <f>IF($G43&lt;&gt;"PAGADO","",IFERROR(IF(VLOOKUP($A43,COMPRADORES!$A:$D,4,FALSE)="NO","Reservado",LEFT(VLOOKUP($A43,COMPRADORES!$A:$D,2,FALSE),3)&amp;"***"&amp;IF(TRIM(MID(VLOOKUP($A43,COMPRADORES!$A:$D,2,FALSE)&amp;" ",FIND(" ",VLOOKUP($A43,COMPRADORES!$A:$D,2,FALSE)&amp;" ")+1,99))="",""," "&amp;LEFT(TRIM(MID(VLOOKUP($A43,COMPRADORES!$A:$D,2,FALSE)&amp;" ",FIND(" ",VLOOKUP($A43,COMPRADORES!$A:$D,2,FALSE)&amp;" ")+1,99)),1)&amp;".")),""))</f>
        <v/>
      </c>
      <c r="F43" s="16">
        <f>IF($B43="PAGADO",MID("ABCDEFGHIJ",INT(VALUE($A43)/100)+1,1)&amp;"-"&amp;$A43,"")</f>
        <v/>
      </c>
      <c r="G43" s="16">
        <f>IF($B43="PAGADO","PAGADO",IF($B43="APARTADO",IF(NOT(ISNUMBER($C43)),"APARTADO",IF($C43&lt;1,"APARTADO",IF(NOW()-$C43&gt;1,"LIBRE","APARTADO"))),"LIBRE"))</f>
        <v/>
      </c>
      <c r="H43" s="15">
        <f>IF($G43&lt;&gt;"APARTADO","",IF(NOT(ISNUMBER($C43)),"FALTA LA HORA",IF($C43&lt;1,"FALTA LA FECHA",TEXT($C43+1,"dd/mm hh:mm"))))</f>
        <v/>
      </c>
    </row>
    <row r="44">
      <c r="A44" s="13" t="inlineStr">
        <is>
          <t>042</t>
        </is>
      </c>
      <c r="B44" t="inlineStr">
        <is>
          <t>LIBRE</t>
        </is>
      </c>
      <c r="C44" s="14" t="n"/>
      <c r="E44" s="15">
        <f>IF($G44&lt;&gt;"PAGADO","",IFERROR(IF(VLOOKUP($A44,COMPRADORES!$A:$D,4,FALSE)="NO","Reservado",LEFT(VLOOKUP($A44,COMPRADORES!$A:$D,2,FALSE),3)&amp;"***"&amp;IF(TRIM(MID(VLOOKUP($A44,COMPRADORES!$A:$D,2,FALSE)&amp;" ",FIND(" ",VLOOKUP($A44,COMPRADORES!$A:$D,2,FALSE)&amp;" ")+1,99))="",""," "&amp;LEFT(TRIM(MID(VLOOKUP($A44,COMPRADORES!$A:$D,2,FALSE)&amp;" ",FIND(" ",VLOOKUP($A44,COMPRADORES!$A:$D,2,FALSE)&amp;" ")+1,99)),1)&amp;".")),""))</f>
        <v/>
      </c>
      <c r="F44" s="16">
        <f>IF($B44="PAGADO",MID("ABCDEFGHIJ",INT(VALUE($A44)/100)+1,1)&amp;"-"&amp;$A44,"")</f>
        <v/>
      </c>
      <c r="G44" s="16">
        <f>IF($B44="PAGADO","PAGADO",IF($B44="APARTADO",IF(NOT(ISNUMBER($C44)),"APARTADO",IF($C44&lt;1,"APARTADO",IF(NOW()-$C44&gt;1,"LIBRE","APARTADO"))),"LIBRE"))</f>
        <v/>
      </c>
      <c r="H44" s="15">
        <f>IF($G44&lt;&gt;"APARTADO","",IF(NOT(ISNUMBER($C44)),"FALTA LA HORA",IF($C44&lt;1,"FALTA LA FECHA",TEXT($C44+1,"dd/mm hh:mm"))))</f>
        <v/>
      </c>
    </row>
    <row r="45">
      <c r="A45" s="13" t="inlineStr">
        <is>
          <t>043</t>
        </is>
      </c>
      <c r="B45" t="inlineStr">
        <is>
          <t>LIBRE</t>
        </is>
      </c>
      <c r="C45" s="14" t="n"/>
      <c r="E45" s="15">
        <f>IF($G45&lt;&gt;"PAGADO","",IFERROR(IF(VLOOKUP($A45,COMPRADORES!$A:$D,4,FALSE)="NO","Reservado",LEFT(VLOOKUP($A45,COMPRADORES!$A:$D,2,FALSE),3)&amp;"***"&amp;IF(TRIM(MID(VLOOKUP($A45,COMPRADORES!$A:$D,2,FALSE)&amp;" ",FIND(" ",VLOOKUP($A45,COMPRADORES!$A:$D,2,FALSE)&amp;" ")+1,99))="",""," "&amp;LEFT(TRIM(MID(VLOOKUP($A45,COMPRADORES!$A:$D,2,FALSE)&amp;" ",FIND(" ",VLOOKUP($A45,COMPRADORES!$A:$D,2,FALSE)&amp;" ")+1,99)),1)&amp;".")),""))</f>
        <v/>
      </c>
      <c r="F45" s="16">
        <f>IF($B45="PAGADO",MID("ABCDEFGHIJ",INT(VALUE($A45)/100)+1,1)&amp;"-"&amp;$A45,"")</f>
        <v/>
      </c>
      <c r="G45" s="16">
        <f>IF($B45="PAGADO","PAGADO",IF($B45="APARTADO",IF(NOT(ISNUMBER($C45)),"APARTADO",IF($C45&lt;1,"APARTADO",IF(NOW()-$C45&gt;1,"LIBRE","APARTADO"))),"LIBRE"))</f>
        <v/>
      </c>
      <c r="H45" s="15">
        <f>IF($G45&lt;&gt;"APARTADO","",IF(NOT(ISNUMBER($C45)),"FALTA LA HORA",IF($C45&lt;1,"FALTA LA FECHA",TEXT($C45+1,"dd/mm hh:mm"))))</f>
        <v/>
      </c>
    </row>
    <row r="46">
      <c r="A46" s="13" t="inlineStr">
        <is>
          <t>044</t>
        </is>
      </c>
      <c r="B46" t="inlineStr">
        <is>
          <t>LIBRE</t>
        </is>
      </c>
      <c r="C46" s="14" t="n"/>
      <c r="E46" s="15">
        <f>IF($G46&lt;&gt;"PAGADO","",IFERROR(IF(VLOOKUP($A46,COMPRADORES!$A:$D,4,FALSE)="NO","Reservado",LEFT(VLOOKUP($A46,COMPRADORES!$A:$D,2,FALSE),3)&amp;"***"&amp;IF(TRIM(MID(VLOOKUP($A46,COMPRADORES!$A:$D,2,FALSE)&amp;" ",FIND(" ",VLOOKUP($A46,COMPRADORES!$A:$D,2,FALSE)&amp;" ")+1,99))="",""," "&amp;LEFT(TRIM(MID(VLOOKUP($A46,COMPRADORES!$A:$D,2,FALSE)&amp;" ",FIND(" ",VLOOKUP($A46,COMPRADORES!$A:$D,2,FALSE)&amp;" ")+1,99)),1)&amp;".")),""))</f>
        <v/>
      </c>
      <c r="F46" s="16">
        <f>IF($B46="PAGADO",MID("ABCDEFGHIJ",INT(VALUE($A46)/100)+1,1)&amp;"-"&amp;$A46,"")</f>
        <v/>
      </c>
      <c r="G46" s="16">
        <f>IF($B46="PAGADO","PAGADO",IF($B46="APARTADO",IF(NOT(ISNUMBER($C46)),"APARTADO",IF($C46&lt;1,"APARTADO",IF(NOW()-$C46&gt;1,"LIBRE","APARTADO"))),"LIBRE"))</f>
        <v/>
      </c>
      <c r="H46" s="15">
        <f>IF($G46&lt;&gt;"APARTADO","",IF(NOT(ISNUMBER($C46)),"FALTA LA HORA",IF($C46&lt;1,"FALTA LA FECHA",TEXT($C46+1,"dd/mm hh:mm"))))</f>
        <v/>
      </c>
    </row>
    <row r="47">
      <c r="A47" s="13" t="inlineStr">
        <is>
          <t>045</t>
        </is>
      </c>
      <c r="B47" t="inlineStr">
        <is>
          <t>LIBRE</t>
        </is>
      </c>
      <c r="C47" s="14" t="n"/>
      <c r="E47" s="15">
        <f>IF($G47&lt;&gt;"PAGADO","",IFERROR(IF(VLOOKUP($A47,COMPRADORES!$A:$D,4,FALSE)="NO","Reservado",LEFT(VLOOKUP($A47,COMPRADORES!$A:$D,2,FALSE),3)&amp;"***"&amp;IF(TRIM(MID(VLOOKUP($A47,COMPRADORES!$A:$D,2,FALSE)&amp;" ",FIND(" ",VLOOKUP($A47,COMPRADORES!$A:$D,2,FALSE)&amp;" ")+1,99))="",""," "&amp;LEFT(TRIM(MID(VLOOKUP($A47,COMPRADORES!$A:$D,2,FALSE)&amp;" ",FIND(" ",VLOOKUP($A47,COMPRADORES!$A:$D,2,FALSE)&amp;" ")+1,99)),1)&amp;".")),""))</f>
        <v/>
      </c>
      <c r="F47" s="16">
        <f>IF($B47="PAGADO",MID("ABCDEFGHIJ",INT(VALUE($A47)/100)+1,1)&amp;"-"&amp;$A47,"")</f>
        <v/>
      </c>
      <c r="G47" s="16">
        <f>IF($B47="PAGADO","PAGADO",IF($B47="APARTADO",IF(NOT(ISNUMBER($C47)),"APARTADO",IF($C47&lt;1,"APARTADO",IF(NOW()-$C47&gt;1,"LIBRE","APARTADO"))),"LIBRE"))</f>
        <v/>
      </c>
      <c r="H47" s="15">
        <f>IF($G47&lt;&gt;"APARTADO","",IF(NOT(ISNUMBER($C47)),"FALTA LA HORA",IF($C47&lt;1,"FALTA LA FECHA",TEXT($C47+1,"dd/mm hh:mm"))))</f>
        <v/>
      </c>
    </row>
    <row r="48">
      <c r="A48" s="13" t="inlineStr">
        <is>
          <t>046</t>
        </is>
      </c>
      <c r="B48" t="inlineStr">
        <is>
          <t>LIBRE</t>
        </is>
      </c>
      <c r="C48" s="14" t="n"/>
      <c r="E48" s="15">
        <f>IF($G48&lt;&gt;"PAGADO","",IFERROR(IF(VLOOKUP($A48,COMPRADORES!$A:$D,4,FALSE)="NO","Reservado",LEFT(VLOOKUP($A48,COMPRADORES!$A:$D,2,FALSE),3)&amp;"***"&amp;IF(TRIM(MID(VLOOKUP($A48,COMPRADORES!$A:$D,2,FALSE)&amp;" ",FIND(" ",VLOOKUP($A48,COMPRADORES!$A:$D,2,FALSE)&amp;" ")+1,99))="",""," "&amp;LEFT(TRIM(MID(VLOOKUP($A48,COMPRADORES!$A:$D,2,FALSE)&amp;" ",FIND(" ",VLOOKUP($A48,COMPRADORES!$A:$D,2,FALSE)&amp;" ")+1,99)),1)&amp;".")),""))</f>
        <v/>
      </c>
      <c r="F48" s="16">
        <f>IF($B48="PAGADO",MID("ABCDEFGHIJ",INT(VALUE($A48)/100)+1,1)&amp;"-"&amp;$A48,"")</f>
        <v/>
      </c>
      <c r="G48" s="16">
        <f>IF($B48="PAGADO","PAGADO",IF($B48="APARTADO",IF(NOT(ISNUMBER($C48)),"APARTADO",IF($C48&lt;1,"APARTADO",IF(NOW()-$C48&gt;1,"LIBRE","APARTADO"))),"LIBRE"))</f>
        <v/>
      </c>
      <c r="H48" s="15">
        <f>IF($G48&lt;&gt;"APARTADO","",IF(NOT(ISNUMBER($C48)),"FALTA LA HORA",IF($C48&lt;1,"FALTA LA FECHA",TEXT($C48+1,"dd/mm hh:mm"))))</f>
        <v/>
      </c>
    </row>
    <row r="49">
      <c r="A49" s="13" t="inlineStr">
        <is>
          <t>047</t>
        </is>
      </c>
      <c r="B49" t="inlineStr">
        <is>
          <t>LIBRE</t>
        </is>
      </c>
      <c r="C49" s="14" t="n"/>
      <c r="E49" s="15">
        <f>IF($G49&lt;&gt;"PAGADO","",IFERROR(IF(VLOOKUP($A49,COMPRADORES!$A:$D,4,FALSE)="NO","Reservado",LEFT(VLOOKUP($A49,COMPRADORES!$A:$D,2,FALSE),3)&amp;"***"&amp;IF(TRIM(MID(VLOOKUP($A49,COMPRADORES!$A:$D,2,FALSE)&amp;" ",FIND(" ",VLOOKUP($A49,COMPRADORES!$A:$D,2,FALSE)&amp;" ")+1,99))="",""," "&amp;LEFT(TRIM(MID(VLOOKUP($A49,COMPRADORES!$A:$D,2,FALSE)&amp;" ",FIND(" ",VLOOKUP($A49,COMPRADORES!$A:$D,2,FALSE)&amp;" ")+1,99)),1)&amp;".")),""))</f>
        <v/>
      </c>
      <c r="F49" s="16">
        <f>IF($B49="PAGADO",MID("ABCDEFGHIJ",INT(VALUE($A49)/100)+1,1)&amp;"-"&amp;$A49,"")</f>
        <v/>
      </c>
      <c r="G49" s="16">
        <f>IF($B49="PAGADO","PAGADO",IF($B49="APARTADO",IF(NOT(ISNUMBER($C49)),"APARTADO",IF($C49&lt;1,"APARTADO",IF(NOW()-$C49&gt;1,"LIBRE","APARTADO"))),"LIBRE"))</f>
        <v/>
      </c>
      <c r="H49" s="15">
        <f>IF($G49&lt;&gt;"APARTADO","",IF(NOT(ISNUMBER($C49)),"FALTA LA HORA",IF($C49&lt;1,"FALTA LA FECHA",TEXT($C49+1,"dd/mm hh:mm"))))</f>
        <v/>
      </c>
    </row>
    <row r="50">
      <c r="A50" s="13" t="inlineStr">
        <is>
          <t>048</t>
        </is>
      </c>
      <c r="B50" t="inlineStr">
        <is>
          <t>LIBRE</t>
        </is>
      </c>
      <c r="C50" s="14" t="n"/>
      <c r="E50" s="15">
        <f>IF($G50&lt;&gt;"PAGADO","",IFERROR(IF(VLOOKUP($A50,COMPRADORES!$A:$D,4,FALSE)="NO","Reservado",LEFT(VLOOKUP($A50,COMPRADORES!$A:$D,2,FALSE),3)&amp;"***"&amp;IF(TRIM(MID(VLOOKUP($A50,COMPRADORES!$A:$D,2,FALSE)&amp;" ",FIND(" ",VLOOKUP($A50,COMPRADORES!$A:$D,2,FALSE)&amp;" ")+1,99))="",""," "&amp;LEFT(TRIM(MID(VLOOKUP($A50,COMPRADORES!$A:$D,2,FALSE)&amp;" ",FIND(" ",VLOOKUP($A50,COMPRADORES!$A:$D,2,FALSE)&amp;" ")+1,99)),1)&amp;".")),""))</f>
        <v/>
      </c>
      <c r="F50" s="16">
        <f>IF($B50="PAGADO",MID("ABCDEFGHIJ",INT(VALUE($A50)/100)+1,1)&amp;"-"&amp;$A50,"")</f>
        <v/>
      </c>
      <c r="G50" s="16">
        <f>IF($B50="PAGADO","PAGADO",IF($B50="APARTADO",IF(NOT(ISNUMBER($C50)),"APARTADO",IF($C50&lt;1,"APARTADO",IF(NOW()-$C50&gt;1,"LIBRE","APARTADO"))),"LIBRE"))</f>
        <v/>
      </c>
      <c r="H50" s="15">
        <f>IF($G50&lt;&gt;"APARTADO","",IF(NOT(ISNUMBER($C50)),"FALTA LA HORA",IF($C50&lt;1,"FALTA LA FECHA",TEXT($C50+1,"dd/mm hh:mm"))))</f>
        <v/>
      </c>
    </row>
    <row r="51">
      <c r="A51" s="13" t="inlineStr">
        <is>
          <t>049</t>
        </is>
      </c>
      <c r="B51" t="inlineStr">
        <is>
          <t>LIBRE</t>
        </is>
      </c>
      <c r="C51" s="14" t="n"/>
      <c r="E51" s="15">
        <f>IF($G51&lt;&gt;"PAGADO","",IFERROR(IF(VLOOKUP($A51,COMPRADORES!$A:$D,4,FALSE)="NO","Reservado",LEFT(VLOOKUP($A51,COMPRADORES!$A:$D,2,FALSE),3)&amp;"***"&amp;IF(TRIM(MID(VLOOKUP($A51,COMPRADORES!$A:$D,2,FALSE)&amp;" ",FIND(" ",VLOOKUP($A51,COMPRADORES!$A:$D,2,FALSE)&amp;" ")+1,99))="",""," "&amp;LEFT(TRIM(MID(VLOOKUP($A51,COMPRADORES!$A:$D,2,FALSE)&amp;" ",FIND(" ",VLOOKUP($A51,COMPRADORES!$A:$D,2,FALSE)&amp;" ")+1,99)),1)&amp;".")),""))</f>
        <v/>
      </c>
      <c r="F51" s="16">
        <f>IF($B51="PAGADO",MID("ABCDEFGHIJ",INT(VALUE($A51)/100)+1,1)&amp;"-"&amp;$A51,"")</f>
        <v/>
      </c>
      <c r="G51" s="16">
        <f>IF($B51="PAGADO","PAGADO",IF($B51="APARTADO",IF(NOT(ISNUMBER($C51)),"APARTADO",IF($C51&lt;1,"APARTADO",IF(NOW()-$C51&gt;1,"LIBRE","APARTADO"))),"LIBRE"))</f>
        <v/>
      </c>
      <c r="H51" s="15">
        <f>IF($G51&lt;&gt;"APARTADO","",IF(NOT(ISNUMBER($C51)),"FALTA LA HORA",IF($C51&lt;1,"FALTA LA FECHA",TEXT($C51+1,"dd/mm hh:mm"))))</f>
        <v/>
      </c>
    </row>
    <row r="52">
      <c r="A52" s="13" t="inlineStr">
        <is>
          <t>050</t>
        </is>
      </c>
      <c r="B52" t="inlineStr">
        <is>
          <t>LIBRE</t>
        </is>
      </c>
      <c r="C52" s="14" t="n"/>
      <c r="E52" s="15">
        <f>IF($G52&lt;&gt;"PAGADO","",IFERROR(IF(VLOOKUP($A52,COMPRADORES!$A:$D,4,FALSE)="NO","Reservado",LEFT(VLOOKUP($A52,COMPRADORES!$A:$D,2,FALSE),3)&amp;"***"&amp;IF(TRIM(MID(VLOOKUP($A52,COMPRADORES!$A:$D,2,FALSE)&amp;" ",FIND(" ",VLOOKUP($A52,COMPRADORES!$A:$D,2,FALSE)&amp;" ")+1,99))="",""," "&amp;LEFT(TRIM(MID(VLOOKUP($A52,COMPRADORES!$A:$D,2,FALSE)&amp;" ",FIND(" ",VLOOKUP($A52,COMPRADORES!$A:$D,2,FALSE)&amp;" ")+1,99)),1)&amp;".")),""))</f>
        <v/>
      </c>
      <c r="F52" s="16">
        <f>IF($B52="PAGADO",MID("ABCDEFGHIJ",INT(VALUE($A52)/100)+1,1)&amp;"-"&amp;$A52,"")</f>
        <v/>
      </c>
      <c r="G52" s="16">
        <f>IF($B52="PAGADO","PAGADO",IF($B52="APARTADO",IF(NOT(ISNUMBER($C52)),"APARTADO",IF($C52&lt;1,"APARTADO",IF(NOW()-$C52&gt;1,"LIBRE","APARTADO"))),"LIBRE"))</f>
        <v/>
      </c>
      <c r="H52" s="15">
        <f>IF($G52&lt;&gt;"APARTADO","",IF(NOT(ISNUMBER($C52)),"FALTA LA HORA",IF($C52&lt;1,"FALTA LA FECHA",TEXT($C52+1,"dd/mm hh:mm"))))</f>
        <v/>
      </c>
    </row>
    <row r="53">
      <c r="A53" s="13" t="inlineStr">
        <is>
          <t>051</t>
        </is>
      </c>
      <c r="B53" t="inlineStr">
        <is>
          <t>LIBRE</t>
        </is>
      </c>
      <c r="C53" s="14" t="n"/>
      <c r="E53" s="15">
        <f>IF($G53&lt;&gt;"PAGADO","",IFERROR(IF(VLOOKUP($A53,COMPRADORES!$A:$D,4,FALSE)="NO","Reservado",LEFT(VLOOKUP($A53,COMPRADORES!$A:$D,2,FALSE),3)&amp;"***"&amp;IF(TRIM(MID(VLOOKUP($A53,COMPRADORES!$A:$D,2,FALSE)&amp;" ",FIND(" ",VLOOKUP($A53,COMPRADORES!$A:$D,2,FALSE)&amp;" ")+1,99))="",""," "&amp;LEFT(TRIM(MID(VLOOKUP($A53,COMPRADORES!$A:$D,2,FALSE)&amp;" ",FIND(" ",VLOOKUP($A53,COMPRADORES!$A:$D,2,FALSE)&amp;" ")+1,99)),1)&amp;".")),""))</f>
        <v/>
      </c>
      <c r="F53" s="16">
        <f>IF($B53="PAGADO",MID("ABCDEFGHIJ",INT(VALUE($A53)/100)+1,1)&amp;"-"&amp;$A53,"")</f>
        <v/>
      </c>
      <c r="G53" s="16">
        <f>IF($B53="PAGADO","PAGADO",IF($B53="APARTADO",IF(NOT(ISNUMBER($C53)),"APARTADO",IF($C53&lt;1,"APARTADO",IF(NOW()-$C53&gt;1,"LIBRE","APARTADO"))),"LIBRE"))</f>
        <v/>
      </c>
      <c r="H53" s="15">
        <f>IF($G53&lt;&gt;"APARTADO","",IF(NOT(ISNUMBER($C53)),"FALTA LA HORA",IF($C53&lt;1,"FALTA LA FECHA",TEXT($C53+1,"dd/mm hh:mm"))))</f>
        <v/>
      </c>
    </row>
    <row r="54">
      <c r="A54" s="13" t="inlineStr">
        <is>
          <t>052</t>
        </is>
      </c>
      <c r="B54" t="inlineStr">
        <is>
          <t>LIBRE</t>
        </is>
      </c>
      <c r="C54" s="14" t="n"/>
      <c r="E54" s="15">
        <f>IF($G54&lt;&gt;"PAGADO","",IFERROR(IF(VLOOKUP($A54,COMPRADORES!$A:$D,4,FALSE)="NO","Reservado",LEFT(VLOOKUP($A54,COMPRADORES!$A:$D,2,FALSE),3)&amp;"***"&amp;IF(TRIM(MID(VLOOKUP($A54,COMPRADORES!$A:$D,2,FALSE)&amp;" ",FIND(" ",VLOOKUP($A54,COMPRADORES!$A:$D,2,FALSE)&amp;" ")+1,99))="",""," "&amp;LEFT(TRIM(MID(VLOOKUP($A54,COMPRADORES!$A:$D,2,FALSE)&amp;" ",FIND(" ",VLOOKUP($A54,COMPRADORES!$A:$D,2,FALSE)&amp;" ")+1,99)),1)&amp;".")),""))</f>
        <v/>
      </c>
      <c r="F54" s="16">
        <f>IF($B54="PAGADO",MID("ABCDEFGHIJ",INT(VALUE($A54)/100)+1,1)&amp;"-"&amp;$A54,"")</f>
        <v/>
      </c>
      <c r="G54" s="16">
        <f>IF($B54="PAGADO","PAGADO",IF($B54="APARTADO",IF(NOT(ISNUMBER($C54)),"APARTADO",IF($C54&lt;1,"APARTADO",IF(NOW()-$C54&gt;1,"LIBRE","APARTADO"))),"LIBRE"))</f>
        <v/>
      </c>
      <c r="H54" s="15">
        <f>IF($G54&lt;&gt;"APARTADO","",IF(NOT(ISNUMBER($C54)),"FALTA LA HORA",IF($C54&lt;1,"FALTA LA FECHA",TEXT($C54+1,"dd/mm hh:mm"))))</f>
        <v/>
      </c>
    </row>
    <row r="55">
      <c r="A55" s="13" t="inlineStr">
        <is>
          <t>053</t>
        </is>
      </c>
      <c r="B55" t="inlineStr">
        <is>
          <t>LIBRE</t>
        </is>
      </c>
      <c r="C55" s="14" t="n"/>
      <c r="E55" s="15">
        <f>IF($G55&lt;&gt;"PAGADO","",IFERROR(IF(VLOOKUP($A55,COMPRADORES!$A:$D,4,FALSE)="NO","Reservado",LEFT(VLOOKUP($A55,COMPRADORES!$A:$D,2,FALSE),3)&amp;"***"&amp;IF(TRIM(MID(VLOOKUP($A55,COMPRADORES!$A:$D,2,FALSE)&amp;" ",FIND(" ",VLOOKUP($A55,COMPRADORES!$A:$D,2,FALSE)&amp;" ")+1,99))="",""," "&amp;LEFT(TRIM(MID(VLOOKUP($A55,COMPRADORES!$A:$D,2,FALSE)&amp;" ",FIND(" ",VLOOKUP($A55,COMPRADORES!$A:$D,2,FALSE)&amp;" ")+1,99)),1)&amp;".")),""))</f>
        <v/>
      </c>
      <c r="F55" s="16">
        <f>IF($B55="PAGADO",MID("ABCDEFGHIJ",INT(VALUE($A55)/100)+1,1)&amp;"-"&amp;$A55,"")</f>
        <v/>
      </c>
      <c r="G55" s="16">
        <f>IF($B55="PAGADO","PAGADO",IF($B55="APARTADO",IF(NOT(ISNUMBER($C55)),"APARTADO",IF($C55&lt;1,"APARTADO",IF(NOW()-$C55&gt;1,"LIBRE","APARTADO"))),"LIBRE"))</f>
        <v/>
      </c>
      <c r="H55" s="15">
        <f>IF($G55&lt;&gt;"APARTADO","",IF(NOT(ISNUMBER($C55)),"FALTA LA HORA",IF($C55&lt;1,"FALTA LA FECHA",TEXT($C55+1,"dd/mm hh:mm"))))</f>
        <v/>
      </c>
    </row>
    <row r="56">
      <c r="A56" s="13" t="inlineStr">
        <is>
          <t>054</t>
        </is>
      </c>
      <c r="B56" t="inlineStr">
        <is>
          <t>LIBRE</t>
        </is>
      </c>
      <c r="C56" s="14" t="n"/>
      <c r="E56" s="15">
        <f>IF($G56&lt;&gt;"PAGADO","",IFERROR(IF(VLOOKUP($A56,COMPRADORES!$A:$D,4,FALSE)="NO","Reservado",LEFT(VLOOKUP($A56,COMPRADORES!$A:$D,2,FALSE),3)&amp;"***"&amp;IF(TRIM(MID(VLOOKUP($A56,COMPRADORES!$A:$D,2,FALSE)&amp;" ",FIND(" ",VLOOKUP($A56,COMPRADORES!$A:$D,2,FALSE)&amp;" ")+1,99))="",""," "&amp;LEFT(TRIM(MID(VLOOKUP($A56,COMPRADORES!$A:$D,2,FALSE)&amp;" ",FIND(" ",VLOOKUP($A56,COMPRADORES!$A:$D,2,FALSE)&amp;" ")+1,99)),1)&amp;".")),""))</f>
        <v/>
      </c>
      <c r="F56" s="16">
        <f>IF($B56="PAGADO",MID("ABCDEFGHIJ",INT(VALUE($A56)/100)+1,1)&amp;"-"&amp;$A56,"")</f>
        <v/>
      </c>
      <c r="G56" s="16">
        <f>IF($B56="PAGADO","PAGADO",IF($B56="APARTADO",IF(NOT(ISNUMBER($C56)),"APARTADO",IF($C56&lt;1,"APARTADO",IF(NOW()-$C56&gt;1,"LIBRE","APARTADO"))),"LIBRE"))</f>
        <v/>
      </c>
      <c r="H56" s="15">
        <f>IF($G56&lt;&gt;"APARTADO","",IF(NOT(ISNUMBER($C56)),"FALTA LA HORA",IF($C56&lt;1,"FALTA LA FECHA",TEXT($C56+1,"dd/mm hh:mm"))))</f>
        <v/>
      </c>
    </row>
    <row r="57">
      <c r="A57" s="13" t="inlineStr">
        <is>
          <t>055</t>
        </is>
      </c>
      <c r="B57" t="inlineStr">
        <is>
          <t>LIBRE</t>
        </is>
      </c>
      <c r="C57" s="14" t="n"/>
      <c r="E57" s="15">
        <f>IF($G57&lt;&gt;"PAGADO","",IFERROR(IF(VLOOKUP($A57,COMPRADORES!$A:$D,4,FALSE)="NO","Reservado",LEFT(VLOOKUP($A57,COMPRADORES!$A:$D,2,FALSE),3)&amp;"***"&amp;IF(TRIM(MID(VLOOKUP($A57,COMPRADORES!$A:$D,2,FALSE)&amp;" ",FIND(" ",VLOOKUP($A57,COMPRADORES!$A:$D,2,FALSE)&amp;" ")+1,99))="",""," "&amp;LEFT(TRIM(MID(VLOOKUP($A57,COMPRADORES!$A:$D,2,FALSE)&amp;" ",FIND(" ",VLOOKUP($A57,COMPRADORES!$A:$D,2,FALSE)&amp;" ")+1,99)),1)&amp;".")),""))</f>
        <v/>
      </c>
      <c r="F57" s="16">
        <f>IF($B57="PAGADO",MID("ABCDEFGHIJ",INT(VALUE($A57)/100)+1,1)&amp;"-"&amp;$A57,"")</f>
        <v/>
      </c>
      <c r="G57" s="16">
        <f>IF($B57="PAGADO","PAGADO",IF($B57="APARTADO",IF(NOT(ISNUMBER($C57)),"APARTADO",IF($C57&lt;1,"APARTADO",IF(NOW()-$C57&gt;1,"LIBRE","APARTADO"))),"LIBRE"))</f>
        <v/>
      </c>
      <c r="H57" s="15">
        <f>IF($G57&lt;&gt;"APARTADO","",IF(NOT(ISNUMBER($C57)),"FALTA LA HORA",IF($C57&lt;1,"FALTA LA FECHA",TEXT($C57+1,"dd/mm hh:mm"))))</f>
        <v/>
      </c>
    </row>
    <row r="58">
      <c r="A58" s="13" t="inlineStr">
        <is>
          <t>056</t>
        </is>
      </c>
      <c r="B58" t="inlineStr">
        <is>
          <t>LIBRE</t>
        </is>
      </c>
      <c r="C58" s="14" t="n"/>
      <c r="E58" s="15">
        <f>IF($G58&lt;&gt;"PAGADO","",IFERROR(IF(VLOOKUP($A58,COMPRADORES!$A:$D,4,FALSE)="NO","Reservado",LEFT(VLOOKUP($A58,COMPRADORES!$A:$D,2,FALSE),3)&amp;"***"&amp;IF(TRIM(MID(VLOOKUP($A58,COMPRADORES!$A:$D,2,FALSE)&amp;" ",FIND(" ",VLOOKUP($A58,COMPRADORES!$A:$D,2,FALSE)&amp;" ")+1,99))="",""," "&amp;LEFT(TRIM(MID(VLOOKUP($A58,COMPRADORES!$A:$D,2,FALSE)&amp;" ",FIND(" ",VLOOKUP($A58,COMPRADORES!$A:$D,2,FALSE)&amp;" ")+1,99)),1)&amp;".")),""))</f>
        <v/>
      </c>
      <c r="F58" s="16">
        <f>IF($B58="PAGADO",MID("ABCDEFGHIJ",INT(VALUE($A58)/100)+1,1)&amp;"-"&amp;$A58,"")</f>
        <v/>
      </c>
      <c r="G58" s="16">
        <f>IF($B58="PAGADO","PAGADO",IF($B58="APARTADO",IF(NOT(ISNUMBER($C58)),"APARTADO",IF($C58&lt;1,"APARTADO",IF(NOW()-$C58&gt;1,"LIBRE","APARTADO"))),"LIBRE"))</f>
        <v/>
      </c>
      <c r="H58" s="15">
        <f>IF($G58&lt;&gt;"APARTADO","",IF(NOT(ISNUMBER($C58)),"FALTA LA HORA",IF($C58&lt;1,"FALTA LA FECHA",TEXT($C58+1,"dd/mm hh:mm"))))</f>
        <v/>
      </c>
    </row>
    <row r="59">
      <c r="A59" s="13" t="inlineStr">
        <is>
          <t>057</t>
        </is>
      </c>
      <c r="B59" t="inlineStr">
        <is>
          <t>LIBRE</t>
        </is>
      </c>
      <c r="C59" s="14" t="n"/>
      <c r="E59" s="15">
        <f>IF($G59&lt;&gt;"PAGADO","",IFERROR(IF(VLOOKUP($A59,COMPRADORES!$A:$D,4,FALSE)="NO","Reservado",LEFT(VLOOKUP($A59,COMPRADORES!$A:$D,2,FALSE),3)&amp;"***"&amp;IF(TRIM(MID(VLOOKUP($A59,COMPRADORES!$A:$D,2,FALSE)&amp;" ",FIND(" ",VLOOKUP($A59,COMPRADORES!$A:$D,2,FALSE)&amp;" ")+1,99))="",""," "&amp;LEFT(TRIM(MID(VLOOKUP($A59,COMPRADORES!$A:$D,2,FALSE)&amp;" ",FIND(" ",VLOOKUP($A59,COMPRADORES!$A:$D,2,FALSE)&amp;" ")+1,99)),1)&amp;".")),""))</f>
        <v/>
      </c>
      <c r="F59" s="16">
        <f>IF($B59="PAGADO",MID("ABCDEFGHIJ",INT(VALUE($A59)/100)+1,1)&amp;"-"&amp;$A59,"")</f>
        <v/>
      </c>
      <c r="G59" s="16">
        <f>IF($B59="PAGADO","PAGADO",IF($B59="APARTADO",IF(NOT(ISNUMBER($C59)),"APARTADO",IF($C59&lt;1,"APARTADO",IF(NOW()-$C59&gt;1,"LIBRE","APARTADO"))),"LIBRE"))</f>
        <v/>
      </c>
      <c r="H59" s="15">
        <f>IF($G59&lt;&gt;"APARTADO","",IF(NOT(ISNUMBER($C59)),"FALTA LA HORA",IF($C59&lt;1,"FALTA LA FECHA",TEXT($C59+1,"dd/mm hh:mm"))))</f>
        <v/>
      </c>
    </row>
    <row r="60">
      <c r="A60" s="13" t="inlineStr">
        <is>
          <t>058</t>
        </is>
      </c>
      <c r="B60" t="inlineStr">
        <is>
          <t>LIBRE</t>
        </is>
      </c>
      <c r="C60" s="14" t="n"/>
      <c r="E60" s="15">
        <f>IF($G60&lt;&gt;"PAGADO","",IFERROR(IF(VLOOKUP($A60,COMPRADORES!$A:$D,4,FALSE)="NO","Reservado",LEFT(VLOOKUP($A60,COMPRADORES!$A:$D,2,FALSE),3)&amp;"***"&amp;IF(TRIM(MID(VLOOKUP($A60,COMPRADORES!$A:$D,2,FALSE)&amp;" ",FIND(" ",VLOOKUP($A60,COMPRADORES!$A:$D,2,FALSE)&amp;" ")+1,99))="",""," "&amp;LEFT(TRIM(MID(VLOOKUP($A60,COMPRADORES!$A:$D,2,FALSE)&amp;" ",FIND(" ",VLOOKUP($A60,COMPRADORES!$A:$D,2,FALSE)&amp;" ")+1,99)),1)&amp;".")),""))</f>
        <v/>
      </c>
      <c r="F60" s="16">
        <f>IF($B60="PAGADO",MID("ABCDEFGHIJ",INT(VALUE($A60)/100)+1,1)&amp;"-"&amp;$A60,"")</f>
        <v/>
      </c>
      <c r="G60" s="16">
        <f>IF($B60="PAGADO","PAGADO",IF($B60="APARTADO",IF(NOT(ISNUMBER($C60)),"APARTADO",IF($C60&lt;1,"APARTADO",IF(NOW()-$C60&gt;1,"LIBRE","APARTADO"))),"LIBRE"))</f>
        <v/>
      </c>
      <c r="H60" s="15">
        <f>IF($G60&lt;&gt;"APARTADO","",IF(NOT(ISNUMBER($C60)),"FALTA LA HORA",IF($C60&lt;1,"FALTA LA FECHA",TEXT($C60+1,"dd/mm hh:mm"))))</f>
        <v/>
      </c>
    </row>
    <row r="61">
      <c r="A61" s="13" t="inlineStr">
        <is>
          <t>059</t>
        </is>
      </c>
      <c r="B61" t="inlineStr">
        <is>
          <t>LIBRE</t>
        </is>
      </c>
      <c r="C61" s="14" t="n"/>
      <c r="E61" s="15">
        <f>IF($G61&lt;&gt;"PAGADO","",IFERROR(IF(VLOOKUP($A61,COMPRADORES!$A:$D,4,FALSE)="NO","Reservado",LEFT(VLOOKUP($A61,COMPRADORES!$A:$D,2,FALSE),3)&amp;"***"&amp;IF(TRIM(MID(VLOOKUP($A61,COMPRADORES!$A:$D,2,FALSE)&amp;" ",FIND(" ",VLOOKUP($A61,COMPRADORES!$A:$D,2,FALSE)&amp;" ")+1,99))="",""," "&amp;LEFT(TRIM(MID(VLOOKUP($A61,COMPRADORES!$A:$D,2,FALSE)&amp;" ",FIND(" ",VLOOKUP($A61,COMPRADORES!$A:$D,2,FALSE)&amp;" ")+1,99)),1)&amp;".")),""))</f>
        <v/>
      </c>
      <c r="F61" s="16">
        <f>IF($B61="PAGADO",MID("ABCDEFGHIJ",INT(VALUE($A61)/100)+1,1)&amp;"-"&amp;$A61,"")</f>
        <v/>
      </c>
      <c r="G61" s="16">
        <f>IF($B61="PAGADO","PAGADO",IF($B61="APARTADO",IF(NOT(ISNUMBER($C61)),"APARTADO",IF($C61&lt;1,"APARTADO",IF(NOW()-$C61&gt;1,"LIBRE","APARTADO"))),"LIBRE"))</f>
        <v/>
      </c>
      <c r="H61" s="15">
        <f>IF($G61&lt;&gt;"APARTADO","",IF(NOT(ISNUMBER($C61)),"FALTA LA HORA",IF($C61&lt;1,"FALTA LA FECHA",TEXT($C61+1,"dd/mm hh:mm"))))</f>
        <v/>
      </c>
    </row>
    <row r="62">
      <c r="A62" s="13" t="inlineStr">
        <is>
          <t>060</t>
        </is>
      </c>
      <c r="B62" t="inlineStr">
        <is>
          <t>LIBRE</t>
        </is>
      </c>
      <c r="C62" s="14" t="n"/>
      <c r="E62" s="15">
        <f>IF($G62&lt;&gt;"PAGADO","",IFERROR(IF(VLOOKUP($A62,COMPRADORES!$A:$D,4,FALSE)="NO","Reservado",LEFT(VLOOKUP($A62,COMPRADORES!$A:$D,2,FALSE),3)&amp;"***"&amp;IF(TRIM(MID(VLOOKUP($A62,COMPRADORES!$A:$D,2,FALSE)&amp;" ",FIND(" ",VLOOKUP($A62,COMPRADORES!$A:$D,2,FALSE)&amp;" ")+1,99))="",""," "&amp;LEFT(TRIM(MID(VLOOKUP($A62,COMPRADORES!$A:$D,2,FALSE)&amp;" ",FIND(" ",VLOOKUP($A62,COMPRADORES!$A:$D,2,FALSE)&amp;" ")+1,99)),1)&amp;".")),""))</f>
        <v/>
      </c>
      <c r="F62" s="16">
        <f>IF($B62="PAGADO",MID("ABCDEFGHIJ",INT(VALUE($A62)/100)+1,1)&amp;"-"&amp;$A62,"")</f>
        <v/>
      </c>
      <c r="G62" s="16">
        <f>IF($B62="PAGADO","PAGADO",IF($B62="APARTADO",IF(NOT(ISNUMBER($C62)),"APARTADO",IF($C62&lt;1,"APARTADO",IF(NOW()-$C62&gt;1,"LIBRE","APARTADO"))),"LIBRE"))</f>
        <v/>
      </c>
      <c r="H62" s="15">
        <f>IF($G62&lt;&gt;"APARTADO","",IF(NOT(ISNUMBER($C62)),"FALTA LA HORA",IF($C62&lt;1,"FALTA LA FECHA",TEXT($C62+1,"dd/mm hh:mm"))))</f>
        <v/>
      </c>
    </row>
    <row r="63">
      <c r="A63" s="13" t="inlineStr">
        <is>
          <t>061</t>
        </is>
      </c>
      <c r="B63" t="inlineStr">
        <is>
          <t>LIBRE</t>
        </is>
      </c>
      <c r="C63" s="14" t="n"/>
      <c r="E63" s="15">
        <f>IF($G63&lt;&gt;"PAGADO","",IFERROR(IF(VLOOKUP($A63,COMPRADORES!$A:$D,4,FALSE)="NO","Reservado",LEFT(VLOOKUP($A63,COMPRADORES!$A:$D,2,FALSE),3)&amp;"***"&amp;IF(TRIM(MID(VLOOKUP($A63,COMPRADORES!$A:$D,2,FALSE)&amp;" ",FIND(" ",VLOOKUP($A63,COMPRADORES!$A:$D,2,FALSE)&amp;" ")+1,99))="",""," "&amp;LEFT(TRIM(MID(VLOOKUP($A63,COMPRADORES!$A:$D,2,FALSE)&amp;" ",FIND(" ",VLOOKUP($A63,COMPRADORES!$A:$D,2,FALSE)&amp;" ")+1,99)),1)&amp;".")),""))</f>
        <v/>
      </c>
      <c r="F63" s="16">
        <f>IF($B63="PAGADO",MID("ABCDEFGHIJ",INT(VALUE($A63)/100)+1,1)&amp;"-"&amp;$A63,"")</f>
        <v/>
      </c>
      <c r="G63" s="16">
        <f>IF($B63="PAGADO","PAGADO",IF($B63="APARTADO",IF(NOT(ISNUMBER($C63)),"APARTADO",IF($C63&lt;1,"APARTADO",IF(NOW()-$C63&gt;1,"LIBRE","APARTADO"))),"LIBRE"))</f>
        <v/>
      </c>
      <c r="H63" s="15">
        <f>IF($G63&lt;&gt;"APARTADO","",IF(NOT(ISNUMBER($C63)),"FALTA LA HORA",IF($C63&lt;1,"FALTA LA FECHA",TEXT($C63+1,"dd/mm hh:mm"))))</f>
        <v/>
      </c>
    </row>
    <row r="64">
      <c r="A64" s="13" t="inlineStr">
        <is>
          <t>062</t>
        </is>
      </c>
      <c r="B64" t="inlineStr">
        <is>
          <t>LIBRE</t>
        </is>
      </c>
      <c r="C64" s="14" t="n"/>
      <c r="E64" s="15">
        <f>IF($G64&lt;&gt;"PAGADO","",IFERROR(IF(VLOOKUP($A64,COMPRADORES!$A:$D,4,FALSE)="NO","Reservado",LEFT(VLOOKUP($A64,COMPRADORES!$A:$D,2,FALSE),3)&amp;"***"&amp;IF(TRIM(MID(VLOOKUP($A64,COMPRADORES!$A:$D,2,FALSE)&amp;" ",FIND(" ",VLOOKUP($A64,COMPRADORES!$A:$D,2,FALSE)&amp;" ")+1,99))="",""," "&amp;LEFT(TRIM(MID(VLOOKUP($A64,COMPRADORES!$A:$D,2,FALSE)&amp;" ",FIND(" ",VLOOKUP($A64,COMPRADORES!$A:$D,2,FALSE)&amp;" ")+1,99)),1)&amp;".")),""))</f>
        <v/>
      </c>
      <c r="F64" s="16">
        <f>IF($B64="PAGADO",MID("ABCDEFGHIJ",INT(VALUE($A64)/100)+1,1)&amp;"-"&amp;$A64,"")</f>
        <v/>
      </c>
      <c r="G64" s="16">
        <f>IF($B64="PAGADO","PAGADO",IF($B64="APARTADO",IF(NOT(ISNUMBER($C64)),"APARTADO",IF($C64&lt;1,"APARTADO",IF(NOW()-$C64&gt;1,"LIBRE","APARTADO"))),"LIBRE"))</f>
        <v/>
      </c>
      <c r="H64" s="15">
        <f>IF($G64&lt;&gt;"APARTADO","",IF(NOT(ISNUMBER($C64)),"FALTA LA HORA",IF($C64&lt;1,"FALTA LA FECHA",TEXT($C64+1,"dd/mm hh:mm"))))</f>
        <v/>
      </c>
    </row>
    <row r="65">
      <c r="A65" s="13" t="inlineStr">
        <is>
          <t>063</t>
        </is>
      </c>
      <c r="B65" t="inlineStr">
        <is>
          <t>LIBRE</t>
        </is>
      </c>
      <c r="C65" s="14" t="n"/>
      <c r="E65" s="15">
        <f>IF($G65&lt;&gt;"PAGADO","",IFERROR(IF(VLOOKUP($A65,COMPRADORES!$A:$D,4,FALSE)="NO","Reservado",LEFT(VLOOKUP($A65,COMPRADORES!$A:$D,2,FALSE),3)&amp;"***"&amp;IF(TRIM(MID(VLOOKUP($A65,COMPRADORES!$A:$D,2,FALSE)&amp;" ",FIND(" ",VLOOKUP($A65,COMPRADORES!$A:$D,2,FALSE)&amp;" ")+1,99))="",""," "&amp;LEFT(TRIM(MID(VLOOKUP($A65,COMPRADORES!$A:$D,2,FALSE)&amp;" ",FIND(" ",VLOOKUP($A65,COMPRADORES!$A:$D,2,FALSE)&amp;" ")+1,99)),1)&amp;".")),""))</f>
        <v/>
      </c>
      <c r="F65" s="16">
        <f>IF($B65="PAGADO",MID("ABCDEFGHIJ",INT(VALUE($A65)/100)+1,1)&amp;"-"&amp;$A65,"")</f>
        <v/>
      </c>
      <c r="G65" s="16">
        <f>IF($B65="PAGADO","PAGADO",IF($B65="APARTADO",IF(NOT(ISNUMBER($C65)),"APARTADO",IF($C65&lt;1,"APARTADO",IF(NOW()-$C65&gt;1,"LIBRE","APARTADO"))),"LIBRE"))</f>
        <v/>
      </c>
      <c r="H65" s="15">
        <f>IF($G65&lt;&gt;"APARTADO","",IF(NOT(ISNUMBER($C65)),"FALTA LA HORA",IF($C65&lt;1,"FALTA LA FECHA",TEXT($C65+1,"dd/mm hh:mm"))))</f>
        <v/>
      </c>
    </row>
    <row r="66">
      <c r="A66" s="13" t="inlineStr">
        <is>
          <t>064</t>
        </is>
      </c>
      <c r="B66" t="inlineStr">
        <is>
          <t>LIBRE</t>
        </is>
      </c>
      <c r="C66" s="14" t="n"/>
      <c r="E66" s="15">
        <f>IF($G66&lt;&gt;"PAGADO","",IFERROR(IF(VLOOKUP($A66,COMPRADORES!$A:$D,4,FALSE)="NO","Reservado",LEFT(VLOOKUP($A66,COMPRADORES!$A:$D,2,FALSE),3)&amp;"***"&amp;IF(TRIM(MID(VLOOKUP($A66,COMPRADORES!$A:$D,2,FALSE)&amp;" ",FIND(" ",VLOOKUP($A66,COMPRADORES!$A:$D,2,FALSE)&amp;" ")+1,99))="",""," "&amp;LEFT(TRIM(MID(VLOOKUP($A66,COMPRADORES!$A:$D,2,FALSE)&amp;" ",FIND(" ",VLOOKUP($A66,COMPRADORES!$A:$D,2,FALSE)&amp;" ")+1,99)),1)&amp;".")),""))</f>
        <v/>
      </c>
      <c r="F66" s="16">
        <f>IF($B66="PAGADO",MID("ABCDEFGHIJ",INT(VALUE($A66)/100)+1,1)&amp;"-"&amp;$A66,"")</f>
        <v/>
      </c>
      <c r="G66" s="16">
        <f>IF($B66="PAGADO","PAGADO",IF($B66="APARTADO",IF(NOT(ISNUMBER($C66)),"APARTADO",IF($C66&lt;1,"APARTADO",IF(NOW()-$C66&gt;1,"LIBRE","APARTADO"))),"LIBRE"))</f>
        <v/>
      </c>
      <c r="H66" s="15">
        <f>IF($G66&lt;&gt;"APARTADO","",IF(NOT(ISNUMBER($C66)),"FALTA LA HORA",IF($C66&lt;1,"FALTA LA FECHA",TEXT($C66+1,"dd/mm hh:mm"))))</f>
        <v/>
      </c>
    </row>
    <row r="67">
      <c r="A67" s="13" t="inlineStr">
        <is>
          <t>065</t>
        </is>
      </c>
      <c r="B67" t="inlineStr">
        <is>
          <t>LIBRE</t>
        </is>
      </c>
      <c r="C67" s="14" t="n"/>
      <c r="E67" s="15">
        <f>IF($G67&lt;&gt;"PAGADO","",IFERROR(IF(VLOOKUP($A67,COMPRADORES!$A:$D,4,FALSE)="NO","Reservado",LEFT(VLOOKUP($A67,COMPRADORES!$A:$D,2,FALSE),3)&amp;"***"&amp;IF(TRIM(MID(VLOOKUP($A67,COMPRADORES!$A:$D,2,FALSE)&amp;" ",FIND(" ",VLOOKUP($A67,COMPRADORES!$A:$D,2,FALSE)&amp;" ")+1,99))="",""," "&amp;LEFT(TRIM(MID(VLOOKUP($A67,COMPRADORES!$A:$D,2,FALSE)&amp;" ",FIND(" ",VLOOKUP($A67,COMPRADORES!$A:$D,2,FALSE)&amp;" ")+1,99)),1)&amp;".")),""))</f>
        <v/>
      </c>
      <c r="F67" s="16">
        <f>IF($B67="PAGADO",MID("ABCDEFGHIJ",INT(VALUE($A67)/100)+1,1)&amp;"-"&amp;$A67,"")</f>
        <v/>
      </c>
      <c r="G67" s="16">
        <f>IF($B67="PAGADO","PAGADO",IF($B67="APARTADO",IF(NOT(ISNUMBER($C67)),"APARTADO",IF($C67&lt;1,"APARTADO",IF(NOW()-$C67&gt;1,"LIBRE","APARTADO"))),"LIBRE"))</f>
        <v/>
      </c>
      <c r="H67" s="15">
        <f>IF($G67&lt;&gt;"APARTADO","",IF(NOT(ISNUMBER($C67)),"FALTA LA HORA",IF($C67&lt;1,"FALTA LA FECHA",TEXT($C67+1,"dd/mm hh:mm"))))</f>
        <v/>
      </c>
    </row>
    <row r="68">
      <c r="A68" s="13" t="inlineStr">
        <is>
          <t>066</t>
        </is>
      </c>
      <c r="B68" t="inlineStr">
        <is>
          <t>LIBRE</t>
        </is>
      </c>
      <c r="C68" s="14" t="n"/>
      <c r="E68" s="15">
        <f>IF($G68&lt;&gt;"PAGADO","",IFERROR(IF(VLOOKUP($A68,COMPRADORES!$A:$D,4,FALSE)="NO","Reservado",LEFT(VLOOKUP($A68,COMPRADORES!$A:$D,2,FALSE),3)&amp;"***"&amp;IF(TRIM(MID(VLOOKUP($A68,COMPRADORES!$A:$D,2,FALSE)&amp;" ",FIND(" ",VLOOKUP($A68,COMPRADORES!$A:$D,2,FALSE)&amp;" ")+1,99))="",""," "&amp;LEFT(TRIM(MID(VLOOKUP($A68,COMPRADORES!$A:$D,2,FALSE)&amp;" ",FIND(" ",VLOOKUP($A68,COMPRADORES!$A:$D,2,FALSE)&amp;" ")+1,99)),1)&amp;".")),""))</f>
        <v/>
      </c>
      <c r="F68" s="16">
        <f>IF($B68="PAGADO",MID("ABCDEFGHIJ",INT(VALUE($A68)/100)+1,1)&amp;"-"&amp;$A68,"")</f>
        <v/>
      </c>
      <c r="G68" s="16">
        <f>IF($B68="PAGADO","PAGADO",IF($B68="APARTADO",IF(NOT(ISNUMBER($C68)),"APARTADO",IF($C68&lt;1,"APARTADO",IF(NOW()-$C68&gt;1,"LIBRE","APARTADO"))),"LIBRE"))</f>
        <v/>
      </c>
      <c r="H68" s="15">
        <f>IF($G68&lt;&gt;"APARTADO","",IF(NOT(ISNUMBER($C68)),"FALTA LA HORA",IF($C68&lt;1,"FALTA LA FECHA",TEXT($C68+1,"dd/mm hh:mm"))))</f>
        <v/>
      </c>
    </row>
    <row r="69">
      <c r="A69" s="13" t="inlineStr">
        <is>
          <t>067</t>
        </is>
      </c>
      <c r="B69" t="inlineStr">
        <is>
          <t>LIBRE</t>
        </is>
      </c>
      <c r="C69" s="14" t="n"/>
      <c r="E69" s="15">
        <f>IF($G69&lt;&gt;"PAGADO","",IFERROR(IF(VLOOKUP($A69,COMPRADORES!$A:$D,4,FALSE)="NO","Reservado",LEFT(VLOOKUP($A69,COMPRADORES!$A:$D,2,FALSE),3)&amp;"***"&amp;IF(TRIM(MID(VLOOKUP($A69,COMPRADORES!$A:$D,2,FALSE)&amp;" ",FIND(" ",VLOOKUP($A69,COMPRADORES!$A:$D,2,FALSE)&amp;" ")+1,99))="",""," "&amp;LEFT(TRIM(MID(VLOOKUP($A69,COMPRADORES!$A:$D,2,FALSE)&amp;" ",FIND(" ",VLOOKUP($A69,COMPRADORES!$A:$D,2,FALSE)&amp;" ")+1,99)),1)&amp;".")),""))</f>
        <v/>
      </c>
      <c r="F69" s="16">
        <f>IF($B69="PAGADO",MID("ABCDEFGHIJ",INT(VALUE($A69)/100)+1,1)&amp;"-"&amp;$A69,"")</f>
        <v/>
      </c>
      <c r="G69" s="16">
        <f>IF($B69="PAGADO","PAGADO",IF($B69="APARTADO",IF(NOT(ISNUMBER($C69)),"APARTADO",IF($C69&lt;1,"APARTADO",IF(NOW()-$C69&gt;1,"LIBRE","APARTADO"))),"LIBRE"))</f>
        <v/>
      </c>
      <c r="H69" s="15">
        <f>IF($G69&lt;&gt;"APARTADO","",IF(NOT(ISNUMBER($C69)),"FALTA LA HORA",IF($C69&lt;1,"FALTA LA FECHA",TEXT($C69+1,"dd/mm hh:mm"))))</f>
        <v/>
      </c>
    </row>
    <row r="70">
      <c r="A70" s="13" t="inlineStr">
        <is>
          <t>068</t>
        </is>
      </c>
      <c r="B70" t="inlineStr">
        <is>
          <t>LIBRE</t>
        </is>
      </c>
      <c r="C70" s="14" t="n"/>
      <c r="E70" s="15">
        <f>IF($G70&lt;&gt;"PAGADO","",IFERROR(IF(VLOOKUP($A70,COMPRADORES!$A:$D,4,FALSE)="NO","Reservado",LEFT(VLOOKUP($A70,COMPRADORES!$A:$D,2,FALSE),3)&amp;"***"&amp;IF(TRIM(MID(VLOOKUP($A70,COMPRADORES!$A:$D,2,FALSE)&amp;" ",FIND(" ",VLOOKUP($A70,COMPRADORES!$A:$D,2,FALSE)&amp;" ")+1,99))="",""," "&amp;LEFT(TRIM(MID(VLOOKUP($A70,COMPRADORES!$A:$D,2,FALSE)&amp;" ",FIND(" ",VLOOKUP($A70,COMPRADORES!$A:$D,2,FALSE)&amp;" ")+1,99)),1)&amp;".")),""))</f>
        <v/>
      </c>
      <c r="F70" s="16">
        <f>IF($B70="PAGADO",MID("ABCDEFGHIJ",INT(VALUE($A70)/100)+1,1)&amp;"-"&amp;$A70,"")</f>
        <v/>
      </c>
      <c r="G70" s="16">
        <f>IF($B70="PAGADO","PAGADO",IF($B70="APARTADO",IF(NOT(ISNUMBER($C70)),"APARTADO",IF($C70&lt;1,"APARTADO",IF(NOW()-$C70&gt;1,"LIBRE","APARTADO"))),"LIBRE"))</f>
        <v/>
      </c>
      <c r="H70" s="15">
        <f>IF($G70&lt;&gt;"APARTADO","",IF(NOT(ISNUMBER($C70)),"FALTA LA HORA",IF($C70&lt;1,"FALTA LA FECHA",TEXT($C70+1,"dd/mm hh:mm"))))</f>
        <v/>
      </c>
    </row>
    <row r="71">
      <c r="A71" s="13" t="inlineStr">
        <is>
          <t>069</t>
        </is>
      </c>
      <c r="B71" t="inlineStr">
        <is>
          <t>LIBRE</t>
        </is>
      </c>
      <c r="C71" s="14" t="n"/>
      <c r="E71" s="15">
        <f>IF($G71&lt;&gt;"PAGADO","",IFERROR(IF(VLOOKUP($A71,COMPRADORES!$A:$D,4,FALSE)="NO","Reservado",LEFT(VLOOKUP($A71,COMPRADORES!$A:$D,2,FALSE),3)&amp;"***"&amp;IF(TRIM(MID(VLOOKUP($A71,COMPRADORES!$A:$D,2,FALSE)&amp;" ",FIND(" ",VLOOKUP($A71,COMPRADORES!$A:$D,2,FALSE)&amp;" ")+1,99))="",""," "&amp;LEFT(TRIM(MID(VLOOKUP($A71,COMPRADORES!$A:$D,2,FALSE)&amp;" ",FIND(" ",VLOOKUP($A71,COMPRADORES!$A:$D,2,FALSE)&amp;" ")+1,99)),1)&amp;".")),""))</f>
        <v/>
      </c>
      <c r="F71" s="16">
        <f>IF($B71="PAGADO",MID("ABCDEFGHIJ",INT(VALUE($A71)/100)+1,1)&amp;"-"&amp;$A71,"")</f>
        <v/>
      </c>
      <c r="G71" s="16">
        <f>IF($B71="PAGADO","PAGADO",IF($B71="APARTADO",IF(NOT(ISNUMBER($C71)),"APARTADO",IF($C71&lt;1,"APARTADO",IF(NOW()-$C71&gt;1,"LIBRE","APARTADO"))),"LIBRE"))</f>
        <v/>
      </c>
      <c r="H71" s="15">
        <f>IF($G71&lt;&gt;"APARTADO","",IF(NOT(ISNUMBER($C71)),"FALTA LA HORA",IF($C71&lt;1,"FALTA LA FECHA",TEXT($C71+1,"dd/mm hh:mm"))))</f>
        <v/>
      </c>
    </row>
    <row r="72">
      <c r="A72" s="13" t="inlineStr">
        <is>
          <t>070</t>
        </is>
      </c>
      <c r="B72" t="inlineStr">
        <is>
          <t>LIBRE</t>
        </is>
      </c>
      <c r="C72" s="14" t="n"/>
      <c r="E72" s="15">
        <f>IF($G72&lt;&gt;"PAGADO","",IFERROR(IF(VLOOKUP($A72,COMPRADORES!$A:$D,4,FALSE)="NO","Reservado",LEFT(VLOOKUP($A72,COMPRADORES!$A:$D,2,FALSE),3)&amp;"***"&amp;IF(TRIM(MID(VLOOKUP($A72,COMPRADORES!$A:$D,2,FALSE)&amp;" ",FIND(" ",VLOOKUP($A72,COMPRADORES!$A:$D,2,FALSE)&amp;" ")+1,99))="",""," "&amp;LEFT(TRIM(MID(VLOOKUP($A72,COMPRADORES!$A:$D,2,FALSE)&amp;" ",FIND(" ",VLOOKUP($A72,COMPRADORES!$A:$D,2,FALSE)&amp;" ")+1,99)),1)&amp;".")),""))</f>
        <v/>
      </c>
      <c r="F72" s="16">
        <f>IF($B72="PAGADO",MID("ABCDEFGHIJ",INT(VALUE($A72)/100)+1,1)&amp;"-"&amp;$A72,"")</f>
        <v/>
      </c>
      <c r="G72" s="16">
        <f>IF($B72="PAGADO","PAGADO",IF($B72="APARTADO",IF(NOT(ISNUMBER($C72)),"APARTADO",IF($C72&lt;1,"APARTADO",IF(NOW()-$C72&gt;1,"LIBRE","APARTADO"))),"LIBRE"))</f>
        <v/>
      </c>
      <c r="H72" s="15">
        <f>IF($G72&lt;&gt;"APARTADO","",IF(NOT(ISNUMBER($C72)),"FALTA LA HORA",IF($C72&lt;1,"FALTA LA FECHA",TEXT($C72+1,"dd/mm hh:mm"))))</f>
        <v/>
      </c>
    </row>
    <row r="73">
      <c r="A73" s="13" t="inlineStr">
        <is>
          <t>071</t>
        </is>
      </c>
      <c r="B73" t="inlineStr">
        <is>
          <t>LIBRE</t>
        </is>
      </c>
      <c r="C73" s="14" t="n"/>
      <c r="E73" s="15">
        <f>IF($G73&lt;&gt;"PAGADO","",IFERROR(IF(VLOOKUP($A73,COMPRADORES!$A:$D,4,FALSE)="NO","Reservado",LEFT(VLOOKUP($A73,COMPRADORES!$A:$D,2,FALSE),3)&amp;"***"&amp;IF(TRIM(MID(VLOOKUP($A73,COMPRADORES!$A:$D,2,FALSE)&amp;" ",FIND(" ",VLOOKUP($A73,COMPRADORES!$A:$D,2,FALSE)&amp;" ")+1,99))="",""," "&amp;LEFT(TRIM(MID(VLOOKUP($A73,COMPRADORES!$A:$D,2,FALSE)&amp;" ",FIND(" ",VLOOKUP($A73,COMPRADORES!$A:$D,2,FALSE)&amp;" ")+1,99)),1)&amp;".")),""))</f>
        <v/>
      </c>
      <c r="F73" s="16">
        <f>IF($B73="PAGADO",MID("ABCDEFGHIJ",INT(VALUE($A73)/100)+1,1)&amp;"-"&amp;$A73,"")</f>
        <v/>
      </c>
      <c r="G73" s="16">
        <f>IF($B73="PAGADO","PAGADO",IF($B73="APARTADO",IF(NOT(ISNUMBER($C73)),"APARTADO",IF($C73&lt;1,"APARTADO",IF(NOW()-$C73&gt;1,"LIBRE","APARTADO"))),"LIBRE"))</f>
        <v/>
      </c>
      <c r="H73" s="15">
        <f>IF($G73&lt;&gt;"APARTADO","",IF(NOT(ISNUMBER($C73)),"FALTA LA HORA",IF($C73&lt;1,"FALTA LA FECHA",TEXT($C73+1,"dd/mm hh:mm"))))</f>
        <v/>
      </c>
    </row>
    <row r="74">
      <c r="A74" s="13" t="inlineStr">
        <is>
          <t>072</t>
        </is>
      </c>
      <c r="B74" t="inlineStr">
        <is>
          <t>LIBRE</t>
        </is>
      </c>
      <c r="C74" s="14" t="n"/>
      <c r="E74" s="15">
        <f>IF($G74&lt;&gt;"PAGADO","",IFERROR(IF(VLOOKUP($A74,COMPRADORES!$A:$D,4,FALSE)="NO","Reservado",LEFT(VLOOKUP($A74,COMPRADORES!$A:$D,2,FALSE),3)&amp;"***"&amp;IF(TRIM(MID(VLOOKUP($A74,COMPRADORES!$A:$D,2,FALSE)&amp;" ",FIND(" ",VLOOKUP($A74,COMPRADORES!$A:$D,2,FALSE)&amp;" ")+1,99))="",""," "&amp;LEFT(TRIM(MID(VLOOKUP($A74,COMPRADORES!$A:$D,2,FALSE)&amp;" ",FIND(" ",VLOOKUP($A74,COMPRADORES!$A:$D,2,FALSE)&amp;" ")+1,99)),1)&amp;".")),""))</f>
        <v/>
      </c>
      <c r="F74" s="16">
        <f>IF($B74="PAGADO",MID("ABCDEFGHIJ",INT(VALUE($A74)/100)+1,1)&amp;"-"&amp;$A74,"")</f>
        <v/>
      </c>
      <c r="G74" s="16">
        <f>IF($B74="PAGADO","PAGADO",IF($B74="APARTADO",IF(NOT(ISNUMBER($C74)),"APARTADO",IF($C74&lt;1,"APARTADO",IF(NOW()-$C74&gt;1,"LIBRE","APARTADO"))),"LIBRE"))</f>
        <v/>
      </c>
      <c r="H74" s="15">
        <f>IF($G74&lt;&gt;"APARTADO","",IF(NOT(ISNUMBER($C74)),"FALTA LA HORA",IF($C74&lt;1,"FALTA LA FECHA",TEXT($C74+1,"dd/mm hh:mm"))))</f>
        <v/>
      </c>
    </row>
    <row r="75">
      <c r="A75" s="13" t="inlineStr">
        <is>
          <t>073</t>
        </is>
      </c>
      <c r="B75" t="inlineStr">
        <is>
          <t>LIBRE</t>
        </is>
      </c>
      <c r="C75" s="14" t="n"/>
      <c r="E75" s="15">
        <f>IF($G75&lt;&gt;"PAGADO","",IFERROR(IF(VLOOKUP($A75,COMPRADORES!$A:$D,4,FALSE)="NO","Reservado",LEFT(VLOOKUP($A75,COMPRADORES!$A:$D,2,FALSE),3)&amp;"***"&amp;IF(TRIM(MID(VLOOKUP($A75,COMPRADORES!$A:$D,2,FALSE)&amp;" ",FIND(" ",VLOOKUP($A75,COMPRADORES!$A:$D,2,FALSE)&amp;" ")+1,99))="",""," "&amp;LEFT(TRIM(MID(VLOOKUP($A75,COMPRADORES!$A:$D,2,FALSE)&amp;" ",FIND(" ",VLOOKUP($A75,COMPRADORES!$A:$D,2,FALSE)&amp;" ")+1,99)),1)&amp;".")),""))</f>
        <v/>
      </c>
      <c r="F75" s="16">
        <f>IF($B75="PAGADO",MID("ABCDEFGHIJ",INT(VALUE($A75)/100)+1,1)&amp;"-"&amp;$A75,"")</f>
        <v/>
      </c>
      <c r="G75" s="16">
        <f>IF($B75="PAGADO","PAGADO",IF($B75="APARTADO",IF(NOT(ISNUMBER($C75)),"APARTADO",IF($C75&lt;1,"APARTADO",IF(NOW()-$C75&gt;1,"LIBRE","APARTADO"))),"LIBRE"))</f>
        <v/>
      </c>
      <c r="H75" s="15">
        <f>IF($G75&lt;&gt;"APARTADO","",IF(NOT(ISNUMBER($C75)),"FALTA LA HORA",IF($C75&lt;1,"FALTA LA FECHA",TEXT($C75+1,"dd/mm hh:mm"))))</f>
        <v/>
      </c>
    </row>
    <row r="76">
      <c r="A76" s="13" t="inlineStr">
        <is>
          <t>074</t>
        </is>
      </c>
      <c r="B76" t="inlineStr">
        <is>
          <t>LIBRE</t>
        </is>
      </c>
      <c r="C76" s="14" t="n"/>
      <c r="E76" s="15">
        <f>IF($G76&lt;&gt;"PAGADO","",IFERROR(IF(VLOOKUP($A76,COMPRADORES!$A:$D,4,FALSE)="NO","Reservado",LEFT(VLOOKUP($A76,COMPRADORES!$A:$D,2,FALSE),3)&amp;"***"&amp;IF(TRIM(MID(VLOOKUP($A76,COMPRADORES!$A:$D,2,FALSE)&amp;" ",FIND(" ",VLOOKUP($A76,COMPRADORES!$A:$D,2,FALSE)&amp;" ")+1,99))="",""," "&amp;LEFT(TRIM(MID(VLOOKUP($A76,COMPRADORES!$A:$D,2,FALSE)&amp;" ",FIND(" ",VLOOKUP($A76,COMPRADORES!$A:$D,2,FALSE)&amp;" ")+1,99)),1)&amp;".")),""))</f>
        <v/>
      </c>
      <c r="F76" s="16">
        <f>IF($B76="PAGADO",MID("ABCDEFGHIJ",INT(VALUE($A76)/100)+1,1)&amp;"-"&amp;$A76,"")</f>
        <v/>
      </c>
      <c r="G76" s="16">
        <f>IF($B76="PAGADO","PAGADO",IF($B76="APARTADO",IF(NOT(ISNUMBER($C76)),"APARTADO",IF($C76&lt;1,"APARTADO",IF(NOW()-$C76&gt;1,"LIBRE","APARTADO"))),"LIBRE"))</f>
        <v/>
      </c>
      <c r="H76" s="15">
        <f>IF($G76&lt;&gt;"APARTADO","",IF(NOT(ISNUMBER($C76)),"FALTA LA HORA",IF($C76&lt;1,"FALTA LA FECHA",TEXT($C76+1,"dd/mm hh:mm"))))</f>
        <v/>
      </c>
    </row>
    <row r="77">
      <c r="A77" s="13" t="inlineStr">
        <is>
          <t>075</t>
        </is>
      </c>
      <c r="B77" t="inlineStr">
        <is>
          <t>LIBRE</t>
        </is>
      </c>
      <c r="C77" s="14" t="n"/>
      <c r="E77" s="15">
        <f>IF($G77&lt;&gt;"PAGADO","",IFERROR(IF(VLOOKUP($A77,COMPRADORES!$A:$D,4,FALSE)="NO","Reservado",LEFT(VLOOKUP($A77,COMPRADORES!$A:$D,2,FALSE),3)&amp;"***"&amp;IF(TRIM(MID(VLOOKUP($A77,COMPRADORES!$A:$D,2,FALSE)&amp;" ",FIND(" ",VLOOKUP($A77,COMPRADORES!$A:$D,2,FALSE)&amp;" ")+1,99))="",""," "&amp;LEFT(TRIM(MID(VLOOKUP($A77,COMPRADORES!$A:$D,2,FALSE)&amp;" ",FIND(" ",VLOOKUP($A77,COMPRADORES!$A:$D,2,FALSE)&amp;" ")+1,99)),1)&amp;".")),""))</f>
        <v/>
      </c>
      <c r="F77" s="16">
        <f>IF($B77="PAGADO",MID("ABCDEFGHIJ",INT(VALUE($A77)/100)+1,1)&amp;"-"&amp;$A77,"")</f>
        <v/>
      </c>
      <c r="G77" s="16">
        <f>IF($B77="PAGADO","PAGADO",IF($B77="APARTADO",IF(NOT(ISNUMBER($C77)),"APARTADO",IF($C77&lt;1,"APARTADO",IF(NOW()-$C77&gt;1,"LIBRE","APARTADO"))),"LIBRE"))</f>
        <v/>
      </c>
      <c r="H77" s="15">
        <f>IF($G77&lt;&gt;"APARTADO","",IF(NOT(ISNUMBER($C77)),"FALTA LA HORA",IF($C77&lt;1,"FALTA LA FECHA",TEXT($C77+1,"dd/mm hh:mm"))))</f>
        <v/>
      </c>
    </row>
    <row r="78">
      <c r="A78" s="13" t="inlineStr">
        <is>
          <t>076</t>
        </is>
      </c>
      <c r="B78" t="inlineStr">
        <is>
          <t>LIBRE</t>
        </is>
      </c>
      <c r="C78" s="14" t="n"/>
      <c r="E78" s="15">
        <f>IF($G78&lt;&gt;"PAGADO","",IFERROR(IF(VLOOKUP($A78,COMPRADORES!$A:$D,4,FALSE)="NO","Reservado",LEFT(VLOOKUP($A78,COMPRADORES!$A:$D,2,FALSE),3)&amp;"***"&amp;IF(TRIM(MID(VLOOKUP($A78,COMPRADORES!$A:$D,2,FALSE)&amp;" ",FIND(" ",VLOOKUP($A78,COMPRADORES!$A:$D,2,FALSE)&amp;" ")+1,99))="",""," "&amp;LEFT(TRIM(MID(VLOOKUP($A78,COMPRADORES!$A:$D,2,FALSE)&amp;" ",FIND(" ",VLOOKUP($A78,COMPRADORES!$A:$D,2,FALSE)&amp;" ")+1,99)),1)&amp;".")),""))</f>
        <v/>
      </c>
      <c r="F78" s="16">
        <f>IF($B78="PAGADO",MID("ABCDEFGHIJ",INT(VALUE($A78)/100)+1,1)&amp;"-"&amp;$A78,"")</f>
        <v/>
      </c>
      <c r="G78" s="16">
        <f>IF($B78="PAGADO","PAGADO",IF($B78="APARTADO",IF(NOT(ISNUMBER($C78)),"APARTADO",IF($C78&lt;1,"APARTADO",IF(NOW()-$C78&gt;1,"LIBRE","APARTADO"))),"LIBRE"))</f>
        <v/>
      </c>
      <c r="H78" s="15">
        <f>IF($G78&lt;&gt;"APARTADO","",IF(NOT(ISNUMBER($C78)),"FALTA LA HORA",IF($C78&lt;1,"FALTA LA FECHA",TEXT($C78+1,"dd/mm hh:mm"))))</f>
        <v/>
      </c>
    </row>
    <row r="79">
      <c r="A79" s="13" t="inlineStr">
        <is>
          <t>077</t>
        </is>
      </c>
      <c r="B79" t="inlineStr">
        <is>
          <t>LIBRE</t>
        </is>
      </c>
      <c r="C79" s="14" t="n"/>
      <c r="E79" s="15">
        <f>IF($G79&lt;&gt;"PAGADO","",IFERROR(IF(VLOOKUP($A79,COMPRADORES!$A:$D,4,FALSE)="NO","Reservado",LEFT(VLOOKUP($A79,COMPRADORES!$A:$D,2,FALSE),3)&amp;"***"&amp;IF(TRIM(MID(VLOOKUP($A79,COMPRADORES!$A:$D,2,FALSE)&amp;" ",FIND(" ",VLOOKUP($A79,COMPRADORES!$A:$D,2,FALSE)&amp;" ")+1,99))="",""," "&amp;LEFT(TRIM(MID(VLOOKUP($A79,COMPRADORES!$A:$D,2,FALSE)&amp;" ",FIND(" ",VLOOKUP($A79,COMPRADORES!$A:$D,2,FALSE)&amp;" ")+1,99)),1)&amp;".")),""))</f>
        <v/>
      </c>
      <c r="F79" s="16">
        <f>IF($B79="PAGADO",MID("ABCDEFGHIJ",INT(VALUE($A79)/100)+1,1)&amp;"-"&amp;$A79,"")</f>
        <v/>
      </c>
      <c r="G79" s="16">
        <f>IF($B79="PAGADO","PAGADO",IF($B79="APARTADO",IF(NOT(ISNUMBER($C79)),"APARTADO",IF($C79&lt;1,"APARTADO",IF(NOW()-$C79&gt;1,"LIBRE","APARTADO"))),"LIBRE"))</f>
        <v/>
      </c>
      <c r="H79" s="15">
        <f>IF($G79&lt;&gt;"APARTADO","",IF(NOT(ISNUMBER($C79)),"FALTA LA HORA",IF($C79&lt;1,"FALTA LA FECHA",TEXT($C79+1,"dd/mm hh:mm"))))</f>
        <v/>
      </c>
    </row>
    <row r="80">
      <c r="A80" s="13" t="inlineStr">
        <is>
          <t>078</t>
        </is>
      </c>
      <c r="B80" t="inlineStr">
        <is>
          <t>LIBRE</t>
        </is>
      </c>
      <c r="C80" s="14" t="n"/>
      <c r="E80" s="15">
        <f>IF($G80&lt;&gt;"PAGADO","",IFERROR(IF(VLOOKUP($A80,COMPRADORES!$A:$D,4,FALSE)="NO","Reservado",LEFT(VLOOKUP($A80,COMPRADORES!$A:$D,2,FALSE),3)&amp;"***"&amp;IF(TRIM(MID(VLOOKUP($A80,COMPRADORES!$A:$D,2,FALSE)&amp;" ",FIND(" ",VLOOKUP($A80,COMPRADORES!$A:$D,2,FALSE)&amp;" ")+1,99))="",""," "&amp;LEFT(TRIM(MID(VLOOKUP($A80,COMPRADORES!$A:$D,2,FALSE)&amp;" ",FIND(" ",VLOOKUP($A80,COMPRADORES!$A:$D,2,FALSE)&amp;" ")+1,99)),1)&amp;".")),""))</f>
        <v/>
      </c>
      <c r="F80" s="16">
        <f>IF($B80="PAGADO",MID("ABCDEFGHIJ",INT(VALUE($A80)/100)+1,1)&amp;"-"&amp;$A80,"")</f>
        <v/>
      </c>
      <c r="G80" s="16">
        <f>IF($B80="PAGADO","PAGADO",IF($B80="APARTADO",IF(NOT(ISNUMBER($C80)),"APARTADO",IF($C80&lt;1,"APARTADO",IF(NOW()-$C80&gt;1,"LIBRE","APARTADO"))),"LIBRE"))</f>
        <v/>
      </c>
      <c r="H80" s="15">
        <f>IF($G80&lt;&gt;"APARTADO","",IF(NOT(ISNUMBER($C80)),"FALTA LA HORA",IF($C80&lt;1,"FALTA LA FECHA",TEXT($C80+1,"dd/mm hh:mm"))))</f>
        <v/>
      </c>
    </row>
    <row r="81">
      <c r="A81" s="13" t="inlineStr">
        <is>
          <t>079</t>
        </is>
      </c>
      <c r="B81" t="inlineStr">
        <is>
          <t>LIBRE</t>
        </is>
      </c>
      <c r="C81" s="14" t="n"/>
      <c r="E81" s="15">
        <f>IF($G81&lt;&gt;"PAGADO","",IFERROR(IF(VLOOKUP($A81,COMPRADORES!$A:$D,4,FALSE)="NO","Reservado",LEFT(VLOOKUP($A81,COMPRADORES!$A:$D,2,FALSE),3)&amp;"***"&amp;IF(TRIM(MID(VLOOKUP($A81,COMPRADORES!$A:$D,2,FALSE)&amp;" ",FIND(" ",VLOOKUP($A81,COMPRADORES!$A:$D,2,FALSE)&amp;" ")+1,99))="",""," "&amp;LEFT(TRIM(MID(VLOOKUP($A81,COMPRADORES!$A:$D,2,FALSE)&amp;" ",FIND(" ",VLOOKUP($A81,COMPRADORES!$A:$D,2,FALSE)&amp;" ")+1,99)),1)&amp;".")),""))</f>
        <v/>
      </c>
      <c r="F81" s="16">
        <f>IF($B81="PAGADO",MID("ABCDEFGHIJ",INT(VALUE($A81)/100)+1,1)&amp;"-"&amp;$A81,"")</f>
        <v/>
      </c>
      <c r="G81" s="16">
        <f>IF($B81="PAGADO","PAGADO",IF($B81="APARTADO",IF(NOT(ISNUMBER($C81)),"APARTADO",IF($C81&lt;1,"APARTADO",IF(NOW()-$C81&gt;1,"LIBRE","APARTADO"))),"LIBRE"))</f>
        <v/>
      </c>
      <c r="H81" s="15">
        <f>IF($G81&lt;&gt;"APARTADO","",IF(NOT(ISNUMBER($C81)),"FALTA LA HORA",IF($C81&lt;1,"FALTA LA FECHA",TEXT($C81+1,"dd/mm hh:mm"))))</f>
        <v/>
      </c>
    </row>
    <row r="82">
      <c r="A82" s="13" t="inlineStr">
        <is>
          <t>080</t>
        </is>
      </c>
      <c r="B82" t="inlineStr">
        <is>
          <t>LIBRE</t>
        </is>
      </c>
      <c r="C82" s="14" t="n"/>
      <c r="E82" s="15">
        <f>IF($G82&lt;&gt;"PAGADO","",IFERROR(IF(VLOOKUP($A82,COMPRADORES!$A:$D,4,FALSE)="NO","Reservado",LEFT(VLOOKUP($A82,COMPRADORES!$A:$D,2,FALSE),3)&amp;"***"&amp;IF(TRIM(MID(VLOOKUP($A82,COMPRADORES!$A:$D,2,FALSE)&amp;" ",FIND(" ",VLOOKUP($A82,COMPRADORES!$A:$D,2,FALSE)&amp;" ")+1,99))="",""," "&amp;LEFT(TRIM(MID(VLOOKUP($A82,COMPRADORES!$A:$D,2,FALSE)&amp;" ",FIND(" ",VLOOKUP($A82,COMPRADORES!$A:$D,2,FALSE)&amp;" ")+1,99)),1)&amp;".")),""))</f>
        <v/>
      </c>
      <c r="F82" s="16">
        <f>IF($B82="PAGADO",MID("ABCDEFGHIJ",INT(VALUE($A82)/100)+1,1)&amp;"-"&amp;$A82,"")</f>
        <v/>
      </c>
      <c r="G82" s="16">
        <f>IF($B82="PAGADO","PAGADO",IF($B82="APARTADO",IF(NOT(ISNUMBER($C82)),"APARTADO",IF($C82&lt;1,"APARTADO",IF(NOW()-$C82&gt;1,"LIBRE","APARTADO"))),"LIBRE"))</f>
        <v/>
      </c>
      <c r="H82" s="15">
        <f>IF($G82&lt;&gt;"APARTADO","",IF(NOT(ISNUMBER($C82)),"FALTA LA HORA",IF($C82&lt;1,"FALTA LA FECHA",TEXT($C82+1,"dd/mm hh:mm"))))</f>
        <v/>
      </c>
    </row>
    <row r="83">
      <c r="A83" s="13" t="inlineStr">
        <is>
          <t>081</t>
        </is>
      </c>
      <c r="B83" t="inlineStr">
        <is>
          <t>LIBRE</t>
        </is>
      </c>
      <c r="C83" s="14" t="n"/>
      <c r="E83" s="15">
        <f>IF($G83&lt;&gt;"PAGADO","",IFERROR(IF(VLOOKUP($A83,COMPRADORES!$A:$D,4,FALSE)="NO","Reservado",LEFT(VLOOKUP($A83,COMPRADORES!$A:$D,2,FALSE),3)&amp;"***"&amp;IF(TRIM(MID(VLOOKUP($A83,COMPRADORES!$A:$D,2,FALSE)&amp;" ",FIND(" ",VLOOKUP($A83,COMPRADORES!$A:$D,2,FALSE)&amp;" ")+1,99))="",""," "&amp;LEFT(TRIM(MID(VLOOKUP($A83,COMPRADORES!$A:$D,2,FALSE)&amp;" ",FIND(" ",VLOOKUP($A83,COMPRADORES!$A:$D,2,FALSE)&amp;" ")+1,99)),1)&amp;".")),""))</f>
        <v/>
      </c>
      <c r="F83" s="16">
        <f>IF($B83="PAGADO",MID("ABCDEFGHIJ",INT(VALUE($A83)/100)+1,1)&amp;"-"&amp;$A83,"")</f>
        <v/>
      </c>
      <c r="G83" s="16">
        <f>IF($B83="PAGADO","PAGADO",IF($B83="APARTADO",IF(NOT(ISNUMBER($C83)),"APARTADO",IF($C83&lt;1,"APARTADO",IF(NOW()-$C83&gt;1,"LIBRE","APARTADO"))),"LIBRE"))</f>
        <v/>
      </c>
      <c r="H83" s="15">
        <f>IF($G83&lt;&gt;"APARTADO","",IF(NOT(ISNUMBER($C83)),"FALTA LA HORA",IF($C83&lt;1,"FALTA LA FECHA",TEXT($C83+1,"dd/mm hh:mm"))))</f>
        <v/>
      </c>
    </row>
    <row r="84">
      <c r="A84" s="13" t="inlineStr">
        <is>
          <t>082</t>
        </is>
      </c>
      <c r="B84" t="inlineStr">
        <is>
          <t>LIBRE</t>
        </is>
      </c>
      <c r="C84" s="14" t="n"/>
      <c r="E84" s="15">
        <f>IF($G84&lt;&gt;"PAGADO","",IFERROR(IF(VLOOKUP($A84,COMPRADORES!$A:$D,4,FALSE)="NO","Reservado",LEFT(VLOOKUP($A84,COMPRADORES!$A:$D,2,FALSE),3)&amp;"***"&amp;IF(TRIM(MID(VLOOKUP($A84,COMPRADORES!$A:$D,2,FALSE)&amp;" ",FIND(" ",VLOOKUP($A84,COMPRADORES!$A:$D,2,FALSE)&amp;" ")+1,99))="",""," "&amp;LEFT(TRIM(MID(VLOOKUP($A84,COMPRADORES!$A:$D,2,FALSE)&amp;" ",FIND(" ",VLOOKUP($A84,COMPRADORES!$A:$D,2,FALSE)&amp;" ")+1,99)),1)&amp;".")),""))</f>
        <v/>
      </c>
      <c r="F84" s="16">
        <f>IF($B84="PAGADO",MID("ABCDEFGHIJ",INT(VALUE($A84)/100)+1,1)&amp;"-"&amp;$A84,"")</f>
        <v/>
      </c>
      <c r="G84" s="16">
        <f>IF($B84="PAGADO","PAGADO",IF($B84="APARTADO",IF(NOT(ISNUMBER($C84)),"APARTADO",IF($C84&lt;1,"APARTADO",IF(NOW()-$C84&gt;1,"LIBRE","APARTADO"))),"LIBRE"))</f>
        <v/>
      </c>
      <c r="H84" s="15">
        <f>IF($G84&lt;&gt;"APARTADO","",IF(NOT(ISNUMBER($C84)),"FALTA LA HORA",IF($C84&lt;1,"FALTA LA FECHA",TEXT($C84+1,"dd/mm hh:mm"))))</f>
        <v/>
      </c>
    </row>
    <row r="85">
      <c r="A85" s="13" t="inlineStr">
        <is>
          <t>083</t>
        </is>
      </c>
      <c r="B85" t="inlineStr">
        <is>
          <t>LIBRE</t>
        </is>
      </c>
      <c r="C85" s="14" t="n"/>
      <c r="E85" s="15">
        <f>IF($G85&lt;&gt;"PAGADO","",IFERROR(IF(VLOOKUP($A85,COMPRADORES!$A:$D,4,FALSE)="NO","Reservado",LEFT(VLOOKUP($A85,COMPRADORES!$A:$D,2,FALSE),3)&amp;"***"&amp;IF(TRIM(MID(VLOOKUP($A85,COMPRADORES!$A:$D,2,FALSE)&amp;" ",FIND(" ",VLOOKUP($A85,COMPRADORES!$A:$D,2,FALSE)&amp;" ")+1,99))="",""," "&amp;LEFT(TRIM(MID(VLOOKUP($A85,COMPRADORES!$A:$D,2,FALSE)&amp;" ",FIND(" ",VLOOKUP($A85,COMPRADORES!$A:$D,2,FALSE)&amp;" ")+1,99)),1)&amp;".")),""))</f>
        <v/>
      </c>
      <c r="F85" s="16">
        <f>IF($B85="PAGADO",MID("ABCDEFGHIJ",INT(VALUE($A85)/100)+1,1)&amp;"-"&amp;$A85,"")</f>
        <v/>
      </c>
      <c r="G85" s="16">
        <f>IF($B85="PAGADO","PAGADO",IF($B85="APARTADO",IF(NOT(ISNUMBER($C85)),"APARTADO",IF($C85&lt;1,"APARTADO",IF(NOW()-$C85&gt;1,"LIBRE","APARTADO"))),"LIBRE"))</f>
        <v/>
      </c>
      <c r="H85" s="15">
        <f>IF($G85&lt;&gt;"APARTADO","",IF(NOT(ISNUMBER($C85)),"FALTA LA HORA",IF($C85&lt;1,"FALTA LA FECHA",TEXT($C85+1,"dd/mm hh:mm"))))</f>
        <v/>
      </c>
    </row>
    <row r="86">
      <c r="A86" s="13" t="inlineStr">
        <is>
          <t>084</t>
        </is>
      </c>
      <c r="B86" t="inlineStr">
        <is>
          <t>LIBRE</t>
        </is>
      </c>
      <c r="C86" s="14" t="n"/>
      <c r="E86" s="15">
        <f>IF($G86&lt;&gt;"PAGADO","",IFERROR(IF(VLOOKUP($A86,COMPRADORES!$A:$D,4,FALSE)="NO","Reservado",LEFT(VLOOKUP($A86,COMPRADORES!$A:$D,2,FALSE),3)&amp;"***"&amp;IF(TRIM(MID(VLOOKUP($A86,COMPRADORES!$A:$D,2,FALSE)&amp;" ",FIND(" ",VLOOKUP($A86,COMPRADORES!$A:$D,2,FALSE)&amp;" ")+1,99))="",""," "&amp;LEFT(TRIM(MID(VLOOKUP($A86,COMPRADORES!$A:$D,2,FALSE)&amp;" ",FIND(" ",VLOOKUP($A86,COMPRADORES!$A:$D,2,FALSE)&amp;" ")+1,99)),1)&amp;".")),""))</f>
        <v/>
      </c>
      <c r="F86" s="16">
        <f>IF($B86="PAGADO",MID("ABCDEFGHIJ",INT(VALUE($A86)/100)+1,1)&amp;"-"&amp;$A86,"")</f>
        <v/>
      </c>
      <c r="G86" s="16">
        <f>IF($B86="PAGADO","PAGADO",IF($B86="APARTADO",IF(NOT(ISNUMBER($C86)),"APARTADO",IF($C86&lt;1,"APARTADO",IF(NOW()-$C86&gt;1,"LIBRE","APARTADO"))),"LIBRE"))</f>
        <v/>
      </c>
      <c r="H86" s="15">
        <f>IF($G86&lt;&gt;"APARTADO","",IF(NOT(ISNUMBER($C86)),"FALTA LA HORA",IF($C86&lt;1,"FALTA LA FECHA",TEXT($C86+1,"dd/mm hh:mm"))))</f>
        <v/>
      </c>
    </row>
    <row r="87">
      <c r="A87" s="13" t="inlineStr">
        <is>
          <t>085</t>
        </is>
      </c>
      <c r="B87" t="inlineStr">
        <is>
          <t>LIBRE</t>
        </is>
      </c>
      <c r="C87" s="14" t="n"/>
      <c r="E87" s="15">
        <f>IF($G87&lt;&gt;"PAGADO","",IFERROR(IF(VLOOKUP($A87,COMPRADORES!$A:$D,4,FALSE)="NO","Reservado",LEFT(VLOOKUP($A87,COMPRADORES!$A:$D,2,FALSE),3)&amp;"***"&amp;IF(TRIM(MID(VLOOKUP($A87,COMPRADORES!$A:$D,2,FALSE)&amp;" ",FIND(" ",VLOOKUP($A87,COMPRADORES!$A:$D,2,FALSE)&amp;" ")+1,99))="",""," "&amp;LEFT(TRIM(MID(VLOOKUP($A87,COMPRADORES!$A:$D,2,FALSE)&amp;" ",FIND(" ",VLOOKUP($A87,COMPRADORES!$A:$D,2,FALSE)&amp;" ")+1,99)),1)&amp;".")),""))</f>
        <v/>
      </c>
      <c r="F87" s="16">
        <f>IF($B87="PAGADO",MID("ABCDEFGHIJ",INT(VALUE($A87)/100)+1,1)&amp;"-"&amp;$A87,"")</f>
        <v/>
      </c>
      <c r="G87" s="16">
        <f>IF($B87="PAGADO","PAGADO",IF($B87="APARTADO",IF(NOT(ISNUMBER($C87)),"APARTADO",IF($C87&lt;1,"APARTADO",IF(NOW()-$C87&gt;1,"LIBRE","APARTADO"))),"LIBRE"))</f>
        <v/>
      </c>
      <c r="H87" s="15">
        <f>IF($G87&lt;&gt;"APARTADO","",IF(NOT(ISNUMBER($C87)),"FALTA LA HORA",IF($C87&lt;1,"FALTA LA FECHA",TEXT($C87+1,"dd/mm hh:mm"))))</f>
        <v/>
      </c>
    </row>
    <row r="88">
      <c r="A88" s="13" t="inlineStr">
        <is>
          <t>086</t>
        </is>
      </c>
      <c r="B88" t="inlineStr">
        <is>
          <t>LIBRE</t>
        </is>
      </c>
      <c r="C88" s="14" t="n"/>
      <c r="E88" s="15">
        <f>IF($G88&lt;&gt;"PAGADO","",IFERROR(IF(VLOOKUP($A88,COMPRADORES!$A:$D,4,FALSE)="NO","Reservado",LEFT(VLOOKUP($A88,COMPRADORES!$A:$D,2,FALSE),3)&amp;"***"&amp;IF(TRIM(MID(VLOOKUP($A88,COMPRADORES!$A:$D,2,FALSE)&amp;" ",FIND(" ",VLOOKUP($A88,COMPRADORES!$A:$D,2,FALSE)&amp;" ")+1,99))="",""," "&amp;LEFT(TRIM(MID(VLOOKUP($A88,COMPRADORES!$A:$D,2,FALSE)&amp;" ",FIND(" ",VLOOKUP($A88,COMPRADORES!$A:$D,2,FALSE)&amp;" ")+1,99)),1)&amp;".")),""))</f>
        <v/>
      </c>
      <c r="F88" s="16">
        <f>IF($B88="PAGADO",MID("ABCDEFGHIJ",INT(VALUE($A88)/100)+1,1)&amp;"-"&amp;$A88,"")</f>
        <v/>
      </c>
      <c r="G88" s="16">
        <f>IF($B88="PAGADO","PAGADO",IF($B88="APARTADO",IF(NOT(ISNUMBER($C88)),"APARTADO",IF($C88&lt;1,"APARTADO",IF(NOW()-$C88&gt;1,"LIBRE","APARTADO"))),"LIBRE"))</f>
        <v/>
      </c>
      <c r="H88" s="15">
        <f>IF($G88&lt;&gt;"APARTADO","",IF(NOT(ISNUMBER($C88)),"FALTA LA HORA",IF($C88&lt;1,"FALTA LA FECHA",TEXT($C88+1,"dd/mm hh:mm"))))</f>
        <v/>
      </c>
    </row>
    <row r="89">
      <c r="A89" s="13" t="inlineStr">
        <is>
          <t>087</t>
        </is>
      </c>
      <c r="B89" t="inlineStr">
        <is>
          <t>LIBRE</t>
        </is>
      </c>
      <c r="C89" s="14" t="n"/>
      <c r="E89" s="15">
        <f>IF($G89&lt;&gt;"PAGADO","",IFERROR(IF(VLOOKUP($A89,COMPRADORES!$A:$D,4,FALSE)="NO","Reservado",LEFT(VLOOKUP($A89,COMPRADORES!$A:$D,2,FALSE),3)&amp;"***"&amp;IF(TRIM(MID(VLOOKUP($A89,COMPRADORES!$A:$D,2,FALSE)&amp;" ",FIND(" ",VLOOKUP($A89,COMPRADORES!$A:$D,2,FALSE)&amp;" ")+1,99))="",""," "&amp;LEFT(TRIM(MID(VLOOKUP($A89,COMPRADORES!$A:$D,2,FALSE)&amp;" ",FIND(" ",VLOOKUP($A89,COMPRADORES!$A:$D,2,FALSE)&amp;" ")+1,99)),1)&amp;".")),""))</f>
        <v/>
      </c>
      <c r="F89" s="16">
        <f>IF($B89="PAGADO",MID("ABCDEFGHIJ",INT(VALUE($A89)/100)+1,1)&amp;"-"&amp;$A89,"")</f>
        <v/>
      </c>
      <c r="G89" s="16">
        <f>IF($B89="PAGADO","PAGADO",IF($B89="APARTADO",IF(NOT(ISNUMBER($C89)),"APARTADO",IF($C89&lt;1,"APARTADO",IF(NOW()-$C89&gt;1,"LIBRE","APARTADO"))),"LIBRE"))</f>
        <v/>
      </c>
      <c r="H89" s="15">
        <f>IF($G89&lt;&gt;"APARTADO","",IF(NOT(ISNUMBER($C89)),"FALTA LA HORA",IF($C89&lt;1,"FALTA LA FECHA",TEXT($C89+1,"dd/mm hh:mm"))))</f>
        <v/>
      </c>
    </row>
    <row r="90">
      <c r="A90" s="13" t="inlineStr">
        <is>
          <t>088</t>
        </is>
      </c>
      <c r="B90" t="inlineStr">
        <is>
          <t>LIBRE</t>
        </is>
      </c>
      <c r="C90" s="14" t="n"/>
      <c r="E90" s="15">
        <f>IF($G90&lt;&gt;"PAGADO","",IFERROR(IF(VLOOKUP($A90,COMPRADORES!$A:$D,4,FALSE)="NO","Reservado",LEFT(VLOOKUP($A90,COMPRADORES!$A:$D,2,FALSE),3)&amp;"***"&amp;IF(TRIM(MID(VLOOKUP($A90,COMPRADORES!$A:$D,2,FALSE)&amp;" ",FIND(" ",VLOOKUP($A90,COMPRADORES!$A:$D,2,FALSE)&amp;" ")+1,99))="",""," "&amp;LEFT(TRIM(MID(VLOOKUP($A90,COMPRADORES!$A:$D,2,FALSE)&amp;" ",FIND(" ",VLOOKUP($A90,COMPRADORES!$A:$D,2,FALSE)&amp;" ")+1,99)),1)&amp;".")),""))</f>
        <v/>
      </c>
      <c r="F90" s="16">
        <f>IF($B90="PAGADO",MID("ABCDEFGHIJ",INT(VALUE($A90)/100)+1,1)&amp;"-"&amp;$A90,"")</f>
        <v/>
      </c>
      <c r="G90" s="16">
        <f>IF($B90="PAGADO","PAGADO",IF($B90="APARTADO",IF(NOT(ISNUMBER($C90)),"APARTADO",IF($C90&lt;1,"APARTADO",IF(NOW()-$C90&gt;1,"LIBRE","APARTADO"))),"LIBRE"))</f>
        <v/>
      </c>
      <c r="H90" s="15">
        <f>IF($G90&lt;&gt;"APARTADO","",IF(NOT(ISNUMBER($C90)),"FALTA LA HORA",IF($C90&lt;1,"FALTA LA FECHA",TEXT($C90+1,"dd/mm hh:mm"))))</f>
        <v/>
      </c>
    </row>
    <row r="91">
      <c r="A91" s="13" t="inlineStr">
        <is>
          <t>089</t>
        </is>
      </c>
      <c r="B91" t="inlineStr">
        <is>
          <t>LIBRE</t>
        </is>
      </c>
      <c r="C91" s="14" t="n"/>
      <c r="E91" s="15">
        <f>IF($G91&lt;&gt;"PAGADO","",IFERROR(IF(VLOOKUP($A91,COMPRADORES!$A:$D,4,FALSE)="NO","Reservado",LEFT(VLOOKUP($A91,COMPRADORES!$A:$D,2,FALSE),3)&amp;"***"&amp;IF(TRIM(MID(VLOOKUP($A91,COMPRADORES!$A:$D,2,FALSE)&amp;" ",FIND(" ",VLOOKUP($A91,COMPRADORES!$A:$D,2,FALSE)&amp;" ")+1,99))="",""," "&amp;LEFT(TRIM(MID(VLOOKUP($A91,COMPRADORES!$A:$D,2,FALSE)&amp;" ",FIND(" ",VLOOKUP($A91,COMPRADORES!$A:$D,2,FALSE)&amp;" ")+1,99)),1)&amp;".")),""))</f>
        <v/>
      </c>
      <c r="F91" s="16">
        <f>IF($B91="PAGADO",MID("ABCDEFGHIJ",INT(VALUE($A91)/100)+1,1)&amp;"-"&amp;$A91,"")</f>
        <v/>
      </c>
      <c r="G91" s="16">
        <f>IF($B91="PAGADO","PAGADO",IF($B91="APARTADO",IF(NOT(ISNUMBER($C91)),"APARTADO",IF($C91&lt;1,"APARTADO",IF(NOW()-$C91&gt;1,"LIBRE","APARTADO"))),"LIBRE"))</f>
        <v/>
      </c>
      <c r="H91" s="15">
        <f>IF($G91&lt;&gt;"APARTADO","",IF(NOT(ISNUMBER($C91)),"FALTA LA HORA",IF($C91&lt;1,"FALTA LA FECHA",TEXT($C91+1,"dd/mm hh:mm"))))</f>
        <v/>
      </c>
    </row>
    <row r="92">
      <c r="A92" s="13" t="inlineStr">
        <is>
          <t>090</t>
        </is>
      </c>
      <c r="B92" t="inlineStr">
        <is>
          <t>LIBRE</t>
        </is>
      </c>
      <c r="C92" s="14" t="n"/>
      <c r="E92" s="15">
        <f>IF($G92&lt;&gt;"PAGADO","",IFERROR(IF(VLOOKUP($A92,COMPRADORES!$A:$D,4,FALSE)="NO","Reservado",LEFT(VLOOKUP($A92,COMPRADORES!$A:$D,2,FALSE),3)&amp;"***"&amp;IF(TRIM(MID(VLOOKUP($A92,COMPRADORES!$A:$D,2,FALSE)&amp;" ",FIND(" ",VLOOKUP($A92,COMPRADORES!$A:$D,2,FALSE)&amp;" ")+1,99))="",""," "&amp;LEFT(TRIM(MID(VLOOKUP($A92,COMPRADORES!$A:$D,2,FALSE)&amp;" ",FIND(" ",VLOOKUP($A92,COMPRADORES!$A:$D,2,FALSE)&amp;" ")+1,99)),1)&amp;".")),""))</f>
        <v/>
      </c>
      <c r="F92" s="16">
        <f>IF($B92="PAGADO",MID("ABCDEFGHIJ",INT(VALUE($A92)/100)+1,1)&amp;"-"&amp;$A92,"")</f>
        <v/>
      </c>
      <c r="G92" s="16">
        <f>IF($B92="PAGADO","PAGADO",IF($B92="APARTADO",IF(NOT(ISNUMBER($C92)),"APARTADO",IF($C92&lt;1,"APARTADO",IF(NOW()-$C92&gt;1,"LIBRE","APARTADO"))),"LIBRE"))</f>
        <v/>
      </c>
      <c r="H92" s="15">
        <f>IF($G92&lt;&gt;"APARTADO","",IF(NOT(ISNUMBER($C92)),"FALTA LA HORA",IF($C92&lt;1,"FALTA LA FECHA",TEXT($C92+1,"dd/mm hh:mm"))))</f>
        <v/>
      </c>
    </row>
    <row r="93">
      <c r="A93" s="13" t="inlineStr">
        <is>
          <t>091</t>
        </is>
      </c>
      <c r="B93" t="inlineStr">
        <is>
          <t>LIBRE</t>
        </is>
      </c>
      <c r="C93" s="14" t="n"/>
      <c r="E93" s="15">
        <f>IF($G93&lt;&gt;"PAGADO","",IFERROR(IF(VLOOKUP($A93,COMPRADORES!$A:$D,4,FALSE)="NO","Reservado",LEFT(VLOOKUP($A93,COMPRADORES!$A:$D,2,FALSE),3)&amp;"***"&amp;IF(TRIM(MID(VLOOKUP($A93,COMPRADORES!$A:$D,2,FALSE)&amp;" ",FIND(" ",VLOOKUP($A93,COMPRADORES!$A:$D,2,FALSE)&amp;" ")+1,99))="",""," "&amp;LEFT(TRIM(MID(VLOOKUP($A93,COMPRADORES!$A:$D,2,FALSE)&amp;" ",FIND(" ",VLOOKUP($A93,COMPRADORES!$A:$D,2,FALSE)&amp;" ")+1,99)),1)&amp;".")),""))</f>
        <v/>
      </c>
      <c r="F93" s="16">
        <f>IF($B93="PAGADO",MID("ABCDEFGHIJ",INT(VALUE($A93)/100)+1,1)&amp;"-"&amp;$A93,"")</f>
        <v/>
      </c>
      <c r="G93" s="16">
        <f>IF($B93="PAGADO","PAGADO",IF($B93="APARTADO",IF(NOT(ISNUMBER($C93)),"APARTADO",IF($C93&lt;1,"APARTADO",IF(NOW()-$C93&gt;1,"LIBRE","APARTADO"))),"LIBRE"))</f>
        <v/>
      </c>
      <c r="H93" s="15">
        <f>IF($G93&lt;&gt;"APARTADO","",IF(NOT(ISNUMBER($C93)),"FALTA LA HORA",IF($C93&lt;1,"FALTA LA FECHA",TEXT($C93+1,"dd/mm hh:mm"))))</f>
        <v/>
      </c>
    </row>
    <row r="94">
      <c r="A94" s="13" t="inlineStr">
        <is>
          <t>092</t>
        </is>
      </c>
      <c r="B94" t="inlineStr">
        <is>
          <t>LIBRE</t>
        </is>
      </c>
      <c r="C94" s="14" t="n"/>
      <c r="E94" s="15">
        <f>IF($G94&lt;&gt;"PAGADO","",IFERROR(IF(VLOOKUP($A94,COMPRADORES!$A:$D,4,FALSE)="NO","Reservado",LEFT(VLOOKUP($A94,COMPRADORES!$A:$D,2,FALSE),3)&amp;"***"&amp;IF(TRIM(MID(VLOOKUP($A94,COMPRADORES!$A:$D,2,FALSE)&amp;" ",FIND(" ",VLOOKUP($A94,COMPRADORES!$A:$D,2,FALSE)&amp;" ")+1,99))="",""," "&amp;LEFT(TRIM(MID(VLOOKUP($A94,COMPRADORES!$A:$D,2,FALSE)&amp;" ",FIND(" ",VLOOKUP($A94,COMPRADORES!$A:$D,2,FALSE)&amp;" ")+1,99)),1)&amp;".")),""))</f>
        <v/>
      </c>
      <c r="F94" s="16">
        <f>IF($B94="PAGADO",MID("ABCDEFGHIJ",INT(VALUE($A94)/100)+1,1)&amp;"-"&amp;$A94,"")</f>
        <v/>
      </c>
      <c r="G94" s="16">
        <f>IF($B94="PAGADO","PAGADO",IF($B94="APARTADO",IF(NOT(ISNUMBER($C94)),"APARTADO",IF($C94&lt;1,"APARTADO",IF(NOW()-$C94&gt;1,"LIBRE","APARTADO"))),"LIBRE"))</f>
        <v/>
      </c>
      <c r="H94" s="15">
        <f>IF($G94&lt;&gt;"APARTADO","",IF(NOT(ISNUMBER($C94)),"FALTA LA HORA",IF($C94&lt;1,"FALTA LA FECHA",TEXT($C94+1,"dd/mm hh:mm"))))</f>
        <v/>
      </c>
    </row>
    <row r="95">
      <c r="A95" s="13" t="inlineStr">
        <is>
          <t>093</t>
        </is>
      </c>
      <c r="B95" t="inlineStr">
        <is>
          <t>LIBRE</t>
        </is>
      </c>
      <c r="C95" s="14" t="n"/>
      <c r="E95" s="15">
        <f>IF($G95&lt;&gt;"PAGADO","",IFERROR(IF(VLOOKUP($A95,COMPRADORES!$A:$D,4,FALSE)="NO","Reservado",LEFT(VLOOKUP($A95,COMPRADORES!$A:$D,2,FALSE),3)&amp;"***"&amp;IF(TRIM(MID(VLOOKUP($A95,COMPRADORES!$A:$D,2,FALSE)&amp;" ",FIND(" ",VLOOKUP($A95,COMPRADORES!$A:$D,2,FALSE)&amp;" ")+1,99))="",""," "&amp;LEFT(TRIM(MID(VLOOKUP($A95,COMPRADORES!$A:$D,2,FALSE)&amp;" ",FIND(" ",VLOOKUP($A95,COMPRADORES!$A:$D,2,FALSE)&amp;" ")+1,99)),1)&amp;".")),""))</f>
        <v/>
      </c>
      <c r="F95" s="16">
        <f>IF($B95="PAGADO",MID("ABCDEFGHIJ",INT(VALUE($A95)/100)+1,1)&amp;"-"&amp;$A95,"")</f>
        <v/>
      </c>
      <c r="G95" s="16">
        <f>IF($B95="PAGADO","PAGADO",IF($B95="APARTADO",IF(NOT(ISNUMBER($C95)),"APARTADO",IF($C95&lt;1,"APARTADO",IF(NOW()-$C95&gt;1,"LIBRE","APARTADO"))),"LIBRE"))</f>
        <v/>
      </c>
      <c r="H95" s="15">
        <f>IF($G95&lt;&gt;"APARTADO","",IF(NOT(ISNUMBER($C95)),"FALTA LA HORA",IF($C95&lt;1,"FALTA LA FECHA",TEXT($C95+1,"dd/mm hh:mm"))))</f>
        <v/>
      </c>
    </row>
    <row r="96">
      <c r="A96" s="13" t="inlineStr">
        <is>
          <t>094</t>
        </is>
      </c>
      <c r="B96" t="inlineStr">
        <is>
          <t>LIBRE</t>
        </is>
      </c>
      <c r="C96" s="14" t="n"/>
      <c r="E96" s="15">
        <f>IF($G96&lt;&gt;"PAGADO","",IFERROR(IF(VLOOKUP($A96,COMPRADORES!$A:$D,4,FALSE)="NO","Reservado",LEFT(VLOOKUP($A96,COMPRADORES!$A:$D,2,FALSE),3)&amp;"***"&amp;IF(TRIM(MID(VLOOKUP($A96,COMPRADORES!$A:$D,2,FALSE)&amp;" ",FIND(" ",VLOOKUP($A96,COMPRADORES!$A:$D,2,FALSE)&amp;" ")+1,99))="",""," "&amp;LEFT(TRIM(MID(VLOOKUP($A96,COMPRADORES!$A:$D,2,FALSE)&amp;" ",FIND(" ",VLOOKUP($A96,COMPRADORES!$A:$D,2,FALSE)&amp;" ")+1,99)),1)&amp;".")),""))</f>
        <v/>
      </c>
      <c r="F96" s="16">
        <f>IF($B96="PAGADO",MID("ABCDEFGHIJ",INT(VALUE($A96)/100)+1,1)&amp;"-"&amp;$A96,"")</f>
        <v/>
      </c>
      <c r="G96" s="16">
        <f>IF($B96="PAGADO","PAGADO",IF($B96="APARTADO",IF(NOT(ISNUMBER($C96)),"APARTADO",IF($C96&lt;1,"APARTADO",IF(NOW()-$C96&gt;1,"LIBRE","APARTADO"))),"LIBRE"))</f>
        <v/>
      </c>
      <c r="H96" s="15">
        <f>IF($G96&lt;&gt;"APARTADO","",IF(NOT(ISNUMBER($C96)),"FALTA LA HORA",IF($C96&lt;1,"FALTA LA FECHA",TEXT($C96+1,"dd/mm hh:mm"))))</f>
        <v/>
      </c>
    </row>
    <row r="97">
      <c r="A97" s="13" t="inlineStr">
        <is>
          <t>095</t>
        </is>
      </c>
      <c r="B97" t="inlineStr">
        <is>
          <t>LIBRE</t>
        </is>
      </c>
      <c r="C97" s="14" t="n"/>
      <c r="E97" s="15">
        <f>IF($G97&lt;&gt;"PAGADO","",IFERROR(IF(VLOOKUP($A97,COMPRADORES!$A:$D,4,FALSE)="NO","Reservado",LEFT(VLOOKUP($A97,COMPRADORES!$A:$D,2,FALSE),3)&amp;"***"&amp;IF(TRIM(MID(VLOOKUP($A97,COMPRADORES!$A:$D,2,FALSE)&amp;" ",FIND(" ",VLOOKUP($A97,COMPRADORES!$A:$D,2,FALSE)&amp;" ")+1,99))="",""," "&amp;LEFT(TRIM(MID(VLOOKUP($A97,COMPRADORES!$A:$D,2,FALSE)&amp;" ",FIND(" ",VLOOKUP($A97,COMPRADORES!$A:$D,2,FALSE)&amp;" ")+1,99)),1)&amp;".")),""))</f>
        <v/>
      </c>
      <c r="F97" s="16">
        <f>IF($B97="PAGADO",MID("ABCDEFGHIJ",INT(VALUE($A97)/100)+1,1)&amp;"-"&amp;$A97,"")</f>
        <v/>
      </c>
      <c r="G97" s="16">
        <f>IF($B97="PAGADO","PAGADO",IF($B97="APARTADO",IF(NOT(ISNUMBER($C97)),"APARTADO",IF($C97&lt;1,"APARTADO",IF(NOW()-$C97&gt;1,"LIBRE","APARTADO"))),"LIBRE"))</f>
        <v/>
      </c>
      <c r="H97" s="15">
        <f>IF($G97&lt;&gt;"APARTADO","",IF(NOT(ISNUMBER($C97)),"FALTA LA HORA",IF($C97&lt;1,"FALTA LA FECHA",TEXT($C97+1,"dd/mm hh:mm"))))</f>
        <v/>
      </c>
    </row>
    <row r="98">
      <c r="A98" s="13" t="inlineStr">
        <is>
          <t>096</t>
        </is>
      </c>
      <c r="B98" t="inlineStr">
        <is>
          <t>LIBRE</t>
        </is>
      </c>
      <c r="C98" s="14" t="n"/>
      <c r="E98" s="15">
        <f>IF($G98&lt;&gt;"PAGADO","",IFERROR(IF(VLOOKUP($A98,COMPRADORES!$A:$D,4,FALSE)="NO","Reservado",LEFT(VLOOKUP($A98,COMPRADORES!$A:$D,2,FALSE),3)&amp;"***"&amp;IF(TRIM(MID(VLOOKUP($A98,COMPRADORES!$A:$D,2,FALSE)&amp;" ",FIND(" ",VLOOKUP($A98,COMPRADORES!$A:$D,2,FALSE)&amp;" ")+1,99))="",""," "&amp;LEFT(TRIM(MID(VLOOKUP($A98,COMPRADORES!$A:$D,2,FALSE)&amp;" ",FIND(" ",VLOOKUP($A98,COMPRADORES!$A:$D,2,FALSE)&amp;" ")+1,99)),1)&amp;".")),""))</f>
        <v/>
      </c>
      <c r="F98" s="16">
        <f>IF($B98="PAGADO",MID("ABCDEFGHIJ",INT(VALUE($A98)/100)+1,1)&amp;"-"&amp;$A98,"")</f>
        <v/>
      </c>
      <c r="G98" s="16">
        <f>IF($B98="PAGADO","PAGADO",IF($B98="APARTADO",IF(NOT(ISNUMBER($C98)),"APARTADO",IF($C98&lt;1,"APARTADO",IF(NOW()-$C98&gt;1,"LIBRE","APARTADO"))),"LIBRE"))</f>
        <v/>
      </c>
      <c r="H98" s="15">
        <f>IF($G98&lt;&gt;"APARTADO","",IF(NOT(ISNUMBER($C98)),"FALTA LA HORA",IF($C98&lt;1,"FALTA LA FECHA",TEXT($C98+1,"dd/mm hh:mm"))))</f>
        <v/>
      </c>
    </row>
    <row r="99">
      <c r="A99" s="13" t="inlineStr">
        <is>
          <t>097</t>
        </is>
      </c>
      <c r="B99" t="inlineStr">
        <is>
          <t>LIBRE</t>
        </is>
      </c>
      <c r="C99" s="14" t="n"/>
      <c r="E99" s="15">
        <f>IF($G99&lt;&gt;"PAGADO","",IFERROR(IF(VLOOKUP($A99,COMPRADORES!$A:$D,4,FALSE)="NO","Reservado",LEFT(VLOOKUP($A99,COMPRADORES!$A:$D,2,FALSE),3)&amp;"***"&amp;IF(TRIM(MID(VLOOKUP($A99,COMPRADORES!$A:$D,2,FALSE)&amp;" ",FIND(" ",VLOOKUP($A99,COMPRADORES!$A:$D,2,FALSE)&amp;" ")+1,99))="",""," "&amp;LEFT(TRIM(MID(VLOOKUP($A99,COMPRADORES!$A:$D,2,FALSE)&amp;" ",FIND(" ",VLOOKUP($A99,COMPRADORES!$A:$D,2,FALSE)&amp;" ")+1,99)),1)&amp;".")),""))</f>
        <v/>
      </c>
      <c r="F99" s="16">
        <f>IF($B99="PAGADO",MID("ABCDEFGHIJ",INT(VALUE($A99)/100)+1,1)&amp;"-"&amp;$A99,"")</f>
        <v/>
      </c>
      <c r="G99" s="16">
        <f>IF($B99="PAGADO","PAGADO",IF($B99="APARTADO",IF(NOT(ISNUMBER($C99)),"APARTADO",IF($C99&lt;1,"APARTADO",IF(NOW()-$C99&gt;1,"LIBRE","APARTADO"))),"LIBRE"))</f>
        <v/>
      </c>
      <c r="H99" s="15">
        <f>IF($G99&lt;&gt;"APARTADO","",IF(NOT(ISNUMBER($C99)),"FALTA LA HORA",IF($C99&lt;1,"FALTA LA FECHA",TEXT($C99+1,"dd/mm hh:mm"))))</f>
        <v/>
      </c>
    </row>
    <row r="100">
      <c r="A100" s="13" t="inlineStr">
        <is>
          <t>098</t>
        </is>
      </c>
      <c r="B100" t="inlineStr">
        <is>
          <t>LIBRE</t>
        </is>
      </c>
      <c r="C100" s="14" t="n"/>
      <c r="E100" s="15">
        <f>IF($G100&lt;&gt;"PAGADO","",IFERROR(IF(VLOOKUP($A100,COMPRADORES!$A:$D,4,FALSE)="NO","Reservado",LEFT(VLOOKUP($A100,COMPRADORES!$A:$D,2,FALSE),3)&amp;"***"&amp;IF(TRIM(MID(VLOOKUP($A100,COMPRADORES!$A:$D,2,FALSE)&amp;" ",FIND(" ",VLOOKUP($A100,COMPRADORES!$A:$D,2,FALSE)&amp;" ")+1,99))="",""," "&amp;LEFT(TRIM(MID(VLOOKUP($A100,COMPRADORES!$A:$D,2,FALSE)&amp;" ",FIND(" ",VLOOKUP($A100,COMPRADORES!$A:$D,2,FALSE)&amp;" ")+1,99)),1)&amp;".")),""))</f>
        <v/>
      </c>
      <c r="F100" s="16">
        <f>IF($B100="PAGADO",MID("ABCDEFGHIJ",INT(VALUE($A100)/100)+1,1)&amp;"-"&amp;$A100,"")</f>
        <v/>
      </c>
      <c r="G100" s="16">
        <f>IF($B100="PAGADO","PAGADO",IF($B100="APARTADO",IF(NOT(ISNUMBER($C100)),"APARTADO",IF($C100&lt;1,"APARTADO",IF(NOW()-$C100&gt;1,"LIBRE","APARTADO"))),"LIBRE"))</f>
        <v/>
      </c>
      <c r="H100" s="15">
        <f>IF($G100&lt;&gt;"APARTADO","",IF(NOT(ISNUMBER($C100)),"FALTA LA HORA",IF($C100&lt;1,"FALTA LA FECHA",TEXT($C100+1,"dd/mm hh:mm"))))</f>
        <v/>
      </c>
    </row>
    <row r="101">
      <c r="A101" s="13" t="inlineStr">
        <is>
          <t>099</t>
        </is>
      </c>
      <c r="B101" t="inlineStr">
        <is>
          <t>LIBRE</t>
        </is>
      </c>
      <c r="C101" s="14" t="n"/>
      <c r="E101" s="15">
        <f>IF($G101&lt;&gt;"PAGADO","",IFERROR(IF(VLOOKUP($A101,COMPRADORES!$A:$D,4,FALSE)="NO","Reservado",LEFT(VLOOKUP($A101,COMPRADORES!$A:$D,2,FALSE),3)&amp;"***"&amp;IF(TRIM(MID(VLOOKUP($A101,COMPRADORES!$A:$D,2,FALSE)&amp;" ",FIND(" ",VLOOKUP($A101,COMPRADORES!$A:$D,2,FALSE)&amp;" ")+1,99))="",""," "&amp;LEFT(TRIM(MID(VLOOKUP($A101,COMPRADORES!$A:$D,2,FALSE)&amp;" ",FIND(" ",VLOOKUP($A101,COMPRADORES!$A:$D,2,FALSE)&amp;" ")+1,99)),1)&amp;".")),""))</f>
        <v/>
      </c>
      <c r="F101" s="16">
        <f>IF($B101="PAGADO",MID("ABCDEFGHIJ",INT(VALUE($A101)/100)+1,1)&amp;"-"&amp;$A101,"")</f>
        <v/>
      </c>
      <c r="G101" s="16">
        <f>IF($B101="PAGADO","PAGADO",IF($B101="APARTADO",IF(NOT(ISNUMBER($C101)),"APARTADO",IF($C101&lt;1,"APARTADO",IF(NOW()-$C101&gt;1,"LIBRE","APARTADO"))),"LIBRE"))</f>
        <v/>
      </c>
      <c r="H101" s="15">
        <f>IF($G101&lt;&gt;"APARTADO","",IF(NOT(ISNUMBER($C101)),"FALTA LA HORA",IF($C101&lt;1,"FALTA LA FECHA",TEXT($C101+1,"dd/mm hh:mm"))))</f>
        <v/>
      </c>
    </row>
    <row r="102">
      <c r="A102" s="13" t="inlineStr">
        <is>
          <t>100</t>
        </is>
      </c>
      <c r="B102" t="inlineStr">
        <is>
          <t>LIBRE</t>
        </is>
      </c>
      <c r="C102" s="14" t="n"/>
      <c r="E102" s="15">
        <f>IF($G102&lt;&gt;"PAGADO","",IFERROR(IF(VLOOKUP($A102,COMPRADORES!$A:$D,4,FALSE)="NO","Reservado",LEFT(VLOOKUP($A102,COMPRADORES!$A:$D,2,FALSE),3)&amp;"***"&amp;IF(TRIM(MID(VLOOKUP($A102,COMPRADORES!$A:$D,2,FALSE)&amp;" ",FIND(" ",VLOOKUP($A102,COMPRADORES!$A:$D,2,FALSE)&amp;" ")+1,99))="",""," "&amp;LEFT(TRIM(MID(VLOOKUP($A102,COMPRADORES!$A:$D,2,FALSE)&amp;" ",FIND(" ",VLOOKUP($A102,COMPRADORES!$A:$D,2,FALSE)&amp;" ")+1,99)),1)&amp;".")),""))</f>
        <v/>
      </c>
      <c r="F102" s="16">
        <f>IF($B102="PAGADO",MID("ABCDEFGHIJ",INT(VALUE($A102)/100)+1,1)&amp;"-"&amp;$A102,"")</f>
        <v/>
      </c>
      <c r="G102" s="16">
        <f>IF($B102="PAGADO","PAGADO",IF($B102="APARTADO",IF(NOT(ISNUMBER($C102)),"APARTADO",IF($C102&lt;1,"APARTADO",IF(NOW()-$C102&gt;1,"LIBRE","APARTADO"))),"LIBRE"))</f>
        <v/>
      </c>
      <c r="H102" s="15">
        <f>IF($G102&lt;&gt;"APARTADO","",IF(NOT(ISNUMBER($C102)),"FALTA LA HORA",IF($C102&lt;1,"FALTA LA FECHA",TEXT($C102+1,"dd/mm hh:mm"))))</f>
        <v/>
      </c>
    </row>
    <row r="103">
      <c r="A103" s="13" t="inlineStr">
        <is>
          <t>101</t>
        </is>
      </c>
      <c r="B103" t="inlineStr">
        <is>
          <t>LIBRE</t>
        </is>
      </c>
      <c r="C103" s="14" t="n"/>
      <c r="E103" s="15">
        <f>IF($G103&lt;&gt;"PAGADO","",IFERROR(IF(VLOOKUP($A103,COMPRADORES!$A:$D,4,FALSE)="NO","Reservado",LEFT(VLOOKUP($A103,COMPRADORES!$A:$D,2,FALSE),3)&amp;"***"&amp;IF(TRIM(MID(VLOOKUP($A103,COMPRADORES!$A:$D,2,FALSE)&amp;" ",FIND(" ",VLOOKUP($A103,COMPRADORES!$A:$D,2,FALSE)&amp;" ")+1,99))="",""," "&amp;LEFT(TRIM(MID(VLOOKUP($A103,COMPRADORES!$A:$D,2,FALSE)&amp;" ",FIND(" ",VLOOKUP($A103,COMPRADORES!$A:$D,2,FALSE)&amp;" ")+1,99)),1)&amp;".")),""))</f>
        <v/>
      </c>
      <c r="F103" s="16">
        <f>IF($B103="PAGADO",MID("ABCDEFGHIJ",INT(VALUE($A103)/100)+1,1)&amp;"-"&amp;$A103,"")</f>
        <v/>
      </c>
      <c r="G103" s="16">
        <f>IF($B103="PAGADO","PAGADO",IF($B103="APARTADO",IF(NOT(ISNUMBER($C103)),"APARTADO",IF($C103&lt;1,"APARTADO",IF(NOW()-$C103&gt;1,"LIBRE","APARTADO"))),"LIBRE"))</f>
        <v/>
      </c>
      <c r="H103" s="15">
        <f>IF($G103&lt;&gt;"APARTADO","",IF(NOT(ISNUMBER($C103)),"FALTA LA HORA",IF($C103&lt;1,"FALTA LA FECHA",TEXT($C103+1,"dd/mm hh:mm"))))</f>
        <v/>
      </c>
    </row>
    <row r="104">
      <c r="A104" s="13" t="inlineStr">
        <is>
          <t>102</t>
        </is>
      </c>
      <c r="B104" t="inlineStr">
        <is>
          <t>LIBRE</t>
        </is>
      </c>
      <c r="C104" s="14" t="n"/>
      <c r="E104" s="15">
        <f>IF($G104&lt;&gt;"PAGADO","",IFERROR(IF(VLOOKUP($A104,COMPRADORES!$A:$D,4,FALSE)="NO","Reservado",LEFT(VLOOKUP($A104,COMPRADORES!$A:$D,2,FALSE),3)&amp;"***"&amp;IF(TRIM(MID(VLOOKUP($A104,COMPRADORES!$A:$D,2,FALSE)&amp;" ",FIND(" ",VLOOKUP($A104,COMPRADORES!$A:$D,2,FALSE)&amp;" ")+1,99))="",""," "&amp;LEFT(TRIM(MID(VLOOKUP($A104,COMPRADORES!$A:$D,2,FALSE)&amp;" ",FIND(" ",VLOOKUP($A104,COMPRADORES!$A:$D,2,FALSE)&amp;" ")+1,99)),1)&amp;".")),""))</f>
        <v/>
      </c>
      <c r="F104" s="16">
        <f>IF($B104="PAGADO",MID("ABCDEFGHIJ",INT(VALUE($A104)/100)+1,1)&amp;"-"&amp;$A104,"")</f>
        <v/>
      </c>
      <c r="G104" s="16">
        <f>IF($B104="PAGADO","PAGADO",IF($B104="APARTADO",IF(NOT(ISNUMBER($C104)),"APARTADO",IF($C104&lt;1,"APARTADO",IF(NOW()-$C104&gt;1,"LIBRE","APARTADO"))),"LIBRE"))</f>
        <v/>
      </c>
      <c r="H104" s="15">
        <f>IF($G104&lt;&gt;"APARTADO","",IF(NOT(ISNUMBER($C104)),"FALTA LA HORA",IF($C104&lt;1,"FALTA LA FECHA",TEXT($C104+1,"dd/mm hh:mm"))))</f>
        <v/>
      </c>
    </row>
    <row r="105">
      <c r="A105" s="13" t="inlineStr">
        <is>
          <t>103</t>
        </is>
      </c>
      <c r="B105" t="inlineStr">
        <is>
          <t>LIBRE</t>
        </is>
      </c>
      <c r="C105" s="14" t="n"/>
      <c r="E105" s="15">
        <f>IF($G105&lt;&gt;"PAGADO","",IFERROR(IF(VLOOKUP($A105,COMPRADORES!$A:$D,4,FALSE)="NO","Reservado",LEFT(VLOOKUP($A105,COMPRADORES!$A:$D,2,FALSE),3)&amp;"***"&amp;IF(TRIM(MID(VLOOKUP($A105,COMPRADORES!$A:$D,2,FALSE)&amp;" ",FIND(" ",VLOOKUP($A105,COMPRADORES!$A:$D,2,FALSE)&amp;" ")+1,99))="",""," "&amp;LEFT(TRIM(MID(VLOOKUP($A105,COMPRADORES!$A:$D,2,FALSE)&amp;" ",FIND(" ",VLOOKUP($A105,COMPRADORES!$A:$D,2,FALSE)&amp;" ")+1,99)),1)&amp;".")),""))</f>
        <v/>
      </c>
      <c r="F105" s="16">
        <f>IF($B105="PAGADO",MID("ABCDEFGHIJ",INT(VALUE($A105)/100)+1,1)&amp;"-"&amp;$A105,"")</f>
        <v/>
      </c>
      <c r="G105" s="16">
        <f>IF($B105="PAGADO","PAGADO",IF($B105="APARTADO",IF(NOT(ISNUMBER($C105)),"APARTADO",IF($C105&lt;1,"APARTADO",IF(NOW()-$C105&gt;1,"LIBRE","APARTADO"))),"LIBRE"))</f>
        <v/>
      </c>
      <c r="H105" s="15">
        <f>IF($G105&lt;&gt;"APARTADO","",IF(NOT(ISNUMBER($C105)),"FALTA LA HORA",IF($C105&lt;1,"FALTA LA FECHA",TEXT($C105+1,"dd/mm hh:mm"))))</f>
        <v/>
      </c>
    </row>
    <row r="106">
      <c r="A106" s="13" t="inlineStr">
        <is>
          <t>104</t>
        </is>
      </c>
      <c r="B106" t="inlineStr">
        <is>
          <t>LIBRE</t>
        </is>
      </c>
      <c r="C106" s="14" t="n"/>
      <c r="E106" s="15">
        <f>IF($G106&lt;&gt;"PAGADO","",IFERROR(IF(VLOOKUP($A106,COMPRADORES!$A:$D,4,FALSE)="NO","Reservado",LEFT(VLOOKUP($A106,COMPRADORES!$A:$D,2,FALSE),3)&amp;"***"&amp;IF(TRIM(MID(VLOOKUP($A106,COMPRADORES!$A:$D,2,FALSE)&amp;" ",FIND(" ",VLOOKUP($A106,COMPRADORES!$A:$D,2,FALSE)&amp;" ")+1,99))="",""," "&amp;LEFT(TRIM(MID(VLOOKUP($A106,COMPRADORES!$A:$D,2,FALSE)&amp;" ",FIND(" ",VLOOKUP($A106,COMPRADORES!$A:$D,2,FALSE)&amp;" ")+1,99)),1)&amp;".")),""))</f>
        <v/>
      </c>
      <c r="F106" s="16">
        <f>IF($B106="PAGADO",MID("ABCDEFGHIJ",INT(VALUE($A106)/100)+1,1)&amp;"-"&amp;$A106,"")</f>
        <v/>
      </c>
      <c r="G106" s="16">
        <f>IF($B106="PAGADO","PAGADO",IF($B106="APARTADO",IF(NOT(ISNUMBER($C106)),"APARTADO",IF($C106&lt;1,"APARTADO",IF(NOW()-$C106&gt;1,"LIBRE","APARTADO"))),"LIBRE"))</f>
        <v/>
      </c>
      <c r="H106" s="15">
        <f>IF($G106&lt;&gt;"APARTADO","",IF(NOT(ISNUMBER($C106)),"FALTA LA HORA",IF($C106&lt;1,"FALTA LA FECHA",TEXT($C106+1,"dd/mm hh:mm"))))</f>
        <v/>
      </c>
    </row>
    <row r="107">
      <c r="A107" s="13" t="inlineStr">
        <is>
          <t>105</t>
        </is>
      </c>
      <c r="B107" t="inlineStr">
        <is>
          <t>LIBRE</t>
        </is>
      </c>
      <c r="C107" s="14" t="n"/>
      <c r="E107" s="15">
        <f>IF($G107&lt;&gt;"PAGADO","",IFERROR(IF(VLOOKUP($A107,COMPRADORES!$A:$D,4,FALSE)="NO","Reservado",LEFT(VLOOKUP($A107,COMPRADORES!$A:$D,2,FALSE),3)&amp;"***"&amp;IF(TRIM(MID(VLOOKUP($A107,COMPRADORES!$A:$D,2,FALSE)&amp;" ",FIND(" ",VLOOKUP($A107,COMPRADORES!$A:$D,2,FALSE)&amp;" ")+1,99))="",""," "&amp;LEFT(TRIM(MID(VLOOKUP($A107,COMPRADORES!$A:$D,2,FALSE)&amp;" ",FIND(" ",VLOOKUP($A107,COMPRADORES!$A:$D,2,FALSE)&amp;" ")+1,99)),1)&amp;".")),""))</f>
        <v/>
      </c>
      <c r="F107" s="16">
        <f>IF($B107="PAGADO",MID("ABCDEFGHIJ",INT(VALUE($A107)/100)+1,1)&amp;"-"&amp;$A107,"")</f>
        <v/>
      </c>
      <c r="G107" s="16">
        <f>IF($B107="PAGADO","PAGADO",IF($B107="APARTADO",IF(NOT(ISNUMBER($C107)),"APARTADO",IF($C107&lt;1,"APARTADO",IF(NOW()-$C107&gt;1,"LIBRE","APARTADO"))),"LIBRE"))</f>
        <v/>
      </c>
      <c r="H107" s="15">
        <f>IF($G107&lt;&gt;"APARTADO","",IF(NOT(ISNUMBER($C107)),"FALTA LA HORA",IF($C107&lt;1,"FALTA LA FECHA",TEXT($C107+1,"dd/mm hh:mm"))))</f>
        <v/>
      </c>
    </row>
    <row r="108">
      <c r="A108" s="13" t="inlineStr">
        <is>
          <t>106</t>
        </is>
      </c>
      <c r="B108" t="inlineStr">
        <is>
          <t>LIBRE</t>
        </is>
      </c>
      <c r="C108" s="14" t="n"/>
      <c r="E108" s="15">
        <f>IF($G108&lt;&gt;"PAGADO","",IFERROR(IF(VLOOKUP($A108,COMPRADORES!$A:$D,4,FALSE)="NO","Reservado",LEFT(VLOOKUP($A108,COMPRADORES!$A:$D,2,FALSE),3)&amp;"***"&amp;IF(TRIM(MID(VLOOKUP($A108,COMPRADORES!$A:$D,2,FALSE)&amp;" ",FIND(" ",VLOOKUP($A108,COMPRADORES!$A:$D,2,FALSE)&amp;" ")+1,99))="",""," "&amp;LEFT(TRIM(MID(VLOOKUP($A108,COMPRADORES!$A:$D,2,FALSE)&amp;" ",FIND(" ",VLOOKUP($A108,COMPRADORES!$A:$D,2,FALSE)&amp;" ")+1,99)),1)&amp;".")),""))</f>
        <v/>
      </c>
      <c r="F108" s="16">
        <f>IF($B108="PAGADO",MID("ABCDEFGHIJ",INT(VALUE($A108)/100)+1,1)&amp;"-"&amp;$A108,"")</f>
        <v/>
      </c>
      <c r="G108" s="16">
        <f>IF($B108="PAGADO","PAGADO",IF($B108="APARTADO",IF(NOT(ISNUMBER($C108)),"APARTADO",IF($C108&lt;1,"APARTADO",IF(NOW()-$C108&gt;1,"LIBRE","APARTADO"))),"LIBRE"))</f>
        <v/>
      </c>
      <c r="H108" s="15">
        <f>IF($G108&lt;&gt;"APARTADO","",IF(NOT(ISNUMBER($C108)),"FALTA LA HORA",IF($C108&lt;1,"FALTA LA FECHA",TEXT($C108+1,"dd/mm hh:mm"))))</f>
        <v/>
      </c>
    </row>
    <row r="109">
      <c r="A109" s="13" t="inlineStr">
        <is>
          <t>107</t>
        </is>
      </c>
      <c r="B109" t="inlineStr">
        <is>
          <t>LIBRE</t>
        </is>
      </c>
      <c r="C109" s="14" t="n"/>
      <c r="E109" s="15">
        <f>IF($G109&lt;&gt;"PAGADO","",IFERROR(IF(VLOOKUP($A109,COMPRADORES!$A:$D,4,FALSE)="NO","Reservado",LEFT(VLOOKUP($A109,COMPRADORES!$A:$D,2,FALSE),3)&amp;"***"&amp;IF(TRIM(MID(VLOOKUP($A109,COMPRADORES!$A:$D,2,FALSE)&amp;" ",FIND(" ",VLOOKUP($A109,COMPRADORES!$A:$D,2,FALSE)&amp;" ")+1,99))="",""," "&amp;LEFT(TRIM(MID(VLOOKUP($A109,COMPRADORES!$A:$D,2,FALSE)&amp;" ",FIND(" ",VLOOKUP($A109,COMPRADORES!$A:$D,2,FALSE)&amp;" ")+1,99)),1)&amp;".")),""))</f>
        <v/>
      </c>
      <c r="F109" s="16">
        <f>IF($B109="PAGADO",MID("ABCDEFGHIJ",INT(VALUE($A109)/100)+1,1)&amp;"-"&amp;$A109,"")</f>
        <v/>
      </c>
      <c r="G109" s="16">
        <f>IF($B109="PAGADO","PAGADO",IF($B109="APARTADO",IF(NOT(ISNUMBER($C109)),"APARTADO",IF($C109&lt;1,"APARTADO",IF(NOW()-$C109&gt;1,"LIBRE","APARTADO"))),"LIBRE"))</f>
        <v/>
      </c>
      <c r="H109" s="15">
        <f>IF($G109&lt;&gt;"APARTADO","",IF(NOT(ISNUMBER($C109)),"FALTA LA HORA",IF($C109&lt;1,"FALTA LA FECHA",TEXT($C109+1,"dd/mm hh:mm"))))</f>
        <v/>
      </c>
    </row>
    <row r="110">
      <c r="A110" s="13" t="inlineStr">
        <is>
          <t>108</t>
        </is>
      </c>
      <c r="B110" t="inlineStr">
        <is>
          <t>LIBRE</t>
        </is>
      </c>
      <c r="C110" s="14" t="n"/>
      <c r="E110" s="15">
        <f>IF($G110&lt;&gt;"PAGADO","",IFERROR(IF(VLOOKUP($A110,COMPRADORES!$A:$D,4,FALSE)="NO","Reservado",LEFT(VLOOKUP($A110,COMPRADORES!$A:$D,2,FALSE),3)&amp;"***"&amp;IF(TRIM(MID(VLOOKUP($A110,COMPRADORES!$A:$D,2,FALSE)&amp;" ",FIND(" ",VLOOKUP($A110,COMPRADORES!$A:$D,2,FALSE)&amp;" ")+1,99))="",""," "&amp;LEFT(TRIM(MID(VLOOKUP($A110,COMPRADORES!$A:$D,2,FALSE)&amp;" ",FIND(" ",VLOOKUP($A110,COMPRADORES!$A:$D,2,FALSE)&amp;" ")+1,99)),1)&amp;".")),""))</f>
        <v/>
      </c>
      <c r="F110" s="16">
        <f>IF($B110="PAGADO",MID("ABCDEFGHIJ",INT(VALUE($A110)/100)+1,1)&amp;"-"&amp;$A110,"")</f>
        <v/>
      </c>
      <c r="G110" s="16">
        <f>IF($B110="PAGADO","PAGADO",IF($B110="APARTADO",IF(NOT(ISNUMBER($C110)),"APARTADO",IF($C110&lt;1,"APARTADO",IF(NOW()-$C110&gt;1,"LIBRE","APARTADO"))),"LIBRE"))</f>
        <v/>
      </c>
      <c r="H110" s="15">
        <f>IF($G110&lt;&gt;"APARTADO","",IF(NOT(ISNUMBER($C110)),"FALTA LA HORA",IF($C110&lt;1,"FALTA LA FECHA",TEXT($C110+1,"dd/mm hh:mm"))))</f>
        <v/>
      </c>
    </row>
    <row r="111">
      <c r="A111" s="13" t="inlineStr">
        <is>
          <t>109</t>
        </is>
      </c>
      <c r="B111" t="inlineStr">
        <is>
          <t>LIBRE</t>
        </is>
      </c>
      <c r="C111" s="14" t="n"/>
      <c r="E111" s="15">
        <f>IF($G111&lt;&gt;"PAGADO","",IFERROR(IF(VLOOKUP($A111,COMPRADORES!$A:$D,4,FALSE)="NO","Reservado",LEFT(VLOOKUP($A111,COMPRADORES!$A:$D,2,FALSE),3)&amp;"***"&amp;IF(TRIM(MID(VLOOKUP($A111,COMPRADORES!$A:$D,2,FALSE)&amp;" ",FIND(" ",VLOOKUP($A111,COMPRADORES!$A:$D,2,FALSE)&amp;" ")+1,99))="",""," "&amp;LEFT(TRIM(MID(VLOOKUP($A111,COMPRADORES!$A:$D,2,FALSE)&amp;" ",FIND(" ",VLOOKUP($A111,COMPRADORES!$A:$D,2,FALSE)&amp;" ")+1,99)),1)&amp;".")),""))</f>
        <v/>
      </c>
      <c r="F111" s="16">
        <f>IF($B111="PAGADO",MID("ABCDEFGHIJ",INT(VALUE($A111)/100)+1,1)&amp;"-"&amp;$A111,"")</f>
        <v/>
      </c>
      <c r="G111" s="16">
        <f>IF($B111="PAGADO","PAGADO",IF($B111="APARTADO",IF(NOT(ISNUMBER($C111)),"APARTADO",IF($C111&lt;1,"APARTADO",IF(NOW()-$C111&gt;1,"LIBRE","APARTADO"))),"LIBRE"))</f>
        <v/>
      </c>
      <c r="H111" s="15">
        <f>IF($G111&lt;&gt;"APARTADO","",IF(NOT(ISNUMBER($C111)),"FALTA LA HORA",IF($C111&lt;1,"FALTA LA FECHA",TEXT($C111+1,"dd/mm hh:mm"))))</f>
        <v/>
      </c>
    </row>
    <row r="112">
      <c r="A112" s="13" t="inlineStr">
        <is>
          <t>110</t>
        </is>
      </c>
      <c r="B112" t="inlineStr">
        <is>
          <t>LIBRE</t>
        </is>
      </c>
      <c r="C112" s="14" t="n"/>
      <c r="E112" s="15">
        <f>IF($G112&lt;&gt;"PAGADO","",IFERROR(IF(VLOOKUP($A112,COMPRADORES!$A:$D,4,FALSE)="NO","Reservado",LEFT(VLOOKUP($A112,COMPRADORES!$A:$D,2,FALSE),3)&amp;"***"&amp;IF(TRIM(MID(VLOOKUP($A112,COMPRADORES!$A:$D,2,FALSE)&amp;" ",FIND(" ",VLOOKUP($A112,COMPRADORES!$A:$D,2,FALSE)&amp;" ")+1,99))="",""," "&amp;LEFT(TRIM(MID(VLOOKUP($A112,COMPRADORES!$A:$D,2,FALSE)&amp;" ",FIND(" ",VLOOKUP($A112,COMPRADORES!$A:$D,2,FALSE)&amp;" ")+1,99)),1)&amp;".")),""))</f>
        <v/>
      </c>
      <c r="F112" s="16">
        <f>IF($B112="PAGADO",MID("ABCDEFGHIJ",INT(VALUE($A112)/100)+1,1)&amp;"-"&amp;$A112,"")</f>
        <v/>
      </c>
      <c r="G112" s="16">
        <f>IF($B112="PAGADO","PAGADO",IF($B112="APARTADO",IF(NOT(ISNUMBER($C112)),"APARTADO",IF($C112&lt;1,"APARTADO",IF(NOW()-$C112&gt;1,"LIBRE","APARTADO"))),"LIBRE"))</f>
        <v/>
      </c>
      <c r="H112" s="15">
        <f>IF($G112&lt;&gt;"APARTADO","",IF(NOT(ISNUMBER($C112)),"FALTA LA HORA",IF($C112&lt;1,"FALTA LA FECHA",TEXT($C112+1,"dd/mm hh:mm"))))</f>
        <v/>
      </c>
    </row>
    <row r="113">
      <c r="A113" s="13" t="inlineStr">
        <is>
          <t>111</t>
        </is>
      </c>
      <c r="B113" t="inlineStr">
        <is>
          <t>LIBRE</t>
        </is>
      </c>
      <c r="C113" s="14" t="n"/>
      <c r="E113" s="15">
        <f>IF($G113&lt;&gt;"PAGADO","",IFERROR(IF(VLOOKUP($A113,COMPRADORES!$A:$D,4,FALSE)="NO","Reservado",LEFT(VLOOKUP($A113,COMPRADORES!$A:$D,2,FALSE),3)&amp;"***"&amp;IF(TRIM(MID(VLOOKUP($A113,COMPRADORES!$A:$D,2,FALSE)&amp;" ",FIND(" ",VLOOKUP($A113,COMPRADORES!$A:$D,2,FALSE)&amp;" ")+1,99))="",""," "&amp;LEFT(TRIM(MID(VLOOKUP($A113,COMPRADORES!$A:$D,2,FALSE)&amp;" ",FIND(" ",VLOOKUP($A113,COMPRADORES!$A:$D,2,FALSE)&amp;" ")+1,99)),1)&amp;".")),""))</f>
        <v/>
      </c>
      <c r="F113" s="16">
        <f>IF($B113="PAGADO",MID("ABCDEFGHIJ",INT(VALUE($A113)/100)+1,1)&amp;"-"&amp;$A113,"")</f>
        <v/>
      </c>
      <c r="G113" s="16">
        <f>IF($B113="PAGADO","PAGADO",IF($B113="APARTADO",IF(NOT(ISNUMBER($C113)),"APARTADO",IF($C113&lt;1,"APARTADO",IF(NOW()-$C113&gt;1,"LIBRE","APARTADO"))),"LIBRE"))</f>
        <v/>
      </c>
      <c r="H113" s="15">
        <f>IF($G113&lt;&gt;"APARTADO","",IF(NOT(ISNUMBER($C113)),"FALTA LA HORA",IF($C113&lt;1,"FALTA LA FECHA",TEXT($C113+1,"dd/mm hh:mm"))))</f>
        <v/>
      </c>
    </row>
    <row r="114">
      <c r="A114" s="13" t="inlineStr">
        <is>
          <t>112</t>
        </is>
      </c>
      <c r="B114" t="inlineStr">
        <is>
          <t>LIBRE</t>
        </is>
      </c>
      <c r="C114" s="14" t="n"/>
      <c r="E114" s="15">
        <f>IF($G114&lt;&gt;"PAGADO","",IFERROR(IF(VLOOKUP($A114,COMPRADORES!$A:$D,4,FALSE)="NO","Reservado",LEFT(VLOOKUP($A114,COMPRADORES!$A:$D,2,FALSE),3)&amp;"***"&amp;IF(TRIM(MID(VLOOKUP($A114,COMPRADORES!$A:$D,2,FALSE)&amp;" ",FIND(" ",VLOOKUP($A114,COMPRADORES!$A:$D,2,FALSE)&amp;" ")+1,99))="",""," "&amp;LEFT(TRIM(MID(VLOOKUP($A114,COMPRADORES!$A:$D,2,FALSE)&amp;" ",FIND(" ",VLOOKUP($A114,COMPRADORES!$A:$D,2,FALSE)&amp;" ")+1,99)),1)&amp;".")),""))</f>
        <v/>
      </c>
      <c r="F114" s="16">
        <f>IF($B114="PAGADO",MID("ABCDEFGHIJ",INT(VALUE($A114)/100)+1,1)&amp;"-"&amp;$A114,"")</f>
        <v/>
      </c>
      <c r="G114" s="16">
        <f>IF($B114="PAGADO","PAGADO",IF($B114="APARTADO",IF(NOT(ISNUMBER($C114)),"APARTADO",IF($C114&lt;1,"APARTADO",IF(NOW()-$C114&gt;1,"LIBRE","APARTADO"))),"LIBRE"))</f>
        <v/>
      </c>
      <c r="H114" s="15">
        <f>IF($G114&lt;&gt;"APARTADO","",IF(NOT(ISNUMBER($C114)),"FALTA LA HORA",IF($C114&lt;1,"FALTA LA FECHA",TEXT($C114+1,"dd/mm hh:mm"))))</f>
        <v/>
      </c>
    </row>
    <row r="115">
      <c r="A115" s="13" t="inlineStr">
        <is>
          <t>113</t>
        </is>
      </c>
      <c r="B115" t="inlineStr">
        <is>
          <t>LIBRE</t>
        </is>
      </c>
      <c r="C115" s="14" t="n"/>
      <c r="E115" s="15">
        <f>IF($G115&lt;&gt;"PAGADO","",IFERROR(IF(VLOOKUP($A115,COMPRADORES!$A:$D,4,FALSE)="NO","Reservado",LEFT(VLOOKUP($A115,COMPRADORES!$A:$D,2,FALSE),3)&amp;"***"&amp;IF(TRIM(MID(VLOOKUP($A115,COMPRADORES!$A:$D,2,FALSE)&amp;" ",FIND(" ",VLOOKUP($A115,COMPRADORES!$A:$D,2,FALSE)&amp;" ")+1,99))="",""," "&amp;LEFT(TRIM(MID(VLOOKUP($A115,COMPRADORES!$A:$D,2,FALSE)&amp;" ",FIND(" ",VLOOKUP($A115,COMPRADORES!$A:$D,2,FALSE)&amp;" ")+1,99)),1)&amp;".")),""))</f>
        <v/>
      </c>
      <c r="F115" s="16">
        <f>IF($B115="PAGADO",MID("ABCDEFGHIJ",INT(VALUE($A115)/100)+1,1)&amp;"-"&amp;$A115,"")</f>
        <v/>
      </c>
      <c r="G115" s="16">
        <f>IF($B115="PAGADO","PAGADO",IF($B115="APARTADO",IF(NOT(ISNUMBER($C115)),"APARTADO",IF($C115&lt;1,"APARTADO",IF(NOW()-$C115&gt;1,"LIBRE","APARTADO"))),"LIBRE"))</f>
        <v/>
      </c>
      <c r="H115" s="15">
        <f>IF($G115&lt;&gt;"APARTADO","",IF(NOT(ISNUMBER($C115)),"FALTA LA HORA",IF($C115&lt;1,"FALTA LA FECHA",TEXT($C115+1,"dd/mm hh:mm"))))</f>
        <v/>
      </c>
    </row>
    <row r="116">
      <c r="A116" s="13" t="inlineStr">
        <is>
          <t>114</t>
        </is>
      </c>
      <c r="B116" t="inlineStr">
        <is>
          <t>LIBRE</t>
        </is>
      </c>
      <c r="C116" s="14" t="n"/>
      <c r="E116" s="15">
        <f>IF($G116&lt;&gt;"PAGADO","",IFERROR(IF(VLOOKUP($A116,COMPRADORES!$A:$D,4,FALSE)="NO","Reservado",LEFT(VLOOKUP($A116,COMPRADORES!$A:$D,2,FALSE),3)&amp;"***"&amp;IF(TRIM(MID(VLOOKUP($A116,COMPRADORES!$A:$D,2,FALSE)&amp;" ",FIND(" ",VLOOKUP($A116,COMPRADORES!$A:$D,2,FALSE)&amp;" ")+1,99))="",""," "&amp;LEFT(TRIM(MID(VLOOKUP($A116,COMPRADORES!$A:$D,2,FALSE)&amp;" ",FIND(" ",VLOOKUP($A116,COMPRADORES!$A:$D,2,FALSE)&amp;" ")+1,99)),1)&amp;".")),""))</f>
        <v/>
      </c>
      <c r="F116" s="16">
        <f>IF($B116="PAGADO",MID("ABCDEFGHIJ",INT(VALUE($A116)/100)+1,1)&amp;"-"&amp;$A116,"")</f>
        <v/>
      </c>
      <c r="G116" s="16">
        <f>IF($B116="PAGADO","PAGADO",IF($B116="APARTADO",IF(NOT(ISNUMBER($C116)),"APARTADO",IF($C116&lt;1,"APARTADO",IF(NOW()-$C116&gt;1,"LIBRE","APARTADO"))),"LIBRE"))</f>
        <v/>
      </c>
      <c r="H116" s="15">
        <f>IF($G116&lt;&gt;"APARTADO","",IF(NOT(ISNUMBER($C116)),"FALTA LA HORA",IF($C116&lt;1,"FALTA LA FECHA",TEXT($C116+1,"dd/mm hh:mm"))))</f>
        <v/>
      </c>
    </row>
    <row r="117">
      <c r="A117" s="13" t="inlineStr">
        <is>
          <t>115</t>
        </is>
      </c>
      <c r="B117" t="inlineStr">
        <is>
          <t>LIBRE</t>
        </is>
      </c>
      <c r="C117" s="14" t="n"/>
      <c r="E117" s="15">
        <f>IF($G117&lt;&gt;"PAGADO","",IFERROR(IF(VLOOKUP($A117,COMPRADORES!$A:$D,4,FALSE)="NO","Reservado",LEFT(VLOOKUP($A117,COMPRADORES!$A:$D,2,FALSE),3)&amp;"***"&amp;IF(TRIM(MID(VLOOKUP($A117,COMPRADORES!$A:$D,2,FALSE)&amp;" ",FIND(" ",VLOOKUP($A117,COMPRADORES!$A:$D,2,FALSE)&amp;" ")+1,99))="",""," "&amp;LEFT(TRIM(MID(VLOOKUP($A117,COMPRADORES!$A:$D,2,FALSE)&amp;" ",FIND(" ",VLOOKUP($A117,COMPRADORES!$A:$D,2,FALSE)&amp;" ")+1,99)),1)&amp;".")),""))</f>
        <v/>
      </c>
      <c r="F117" s="16">
        <f>IF($B117="PAGADO",MID("ABCDEFGHIJ",INT(VALUE($A117)/100)+1,1)&amp;"-"&amp;$A117,"")</f>
        <v/>
      </c>
      <c r="G117" s="16">
        <f>IF($B117="PAGADO","PAGADO",IF($B117="APARTADO",IF(NOT(ISNUMBER($C117)),"APARTADO",IF($C117&lt;1,"APARTADO",IF(NOW()-$C117&gt;1,"LIBRE","APARTADO"))),"LIBRE"))</f>
        <v/>
      </c>
      <c r="H117" s="15">
        <f>IF($G117&lt;&gt;"APARTADO","",IF(NOT(ISNUMBER($C117)),"FALTA LA HORA",IF($C117&lt;1,"FALTA LA FECHA",TEXT($C117+1,"dd/mm hh:mm"))))</f>
        <v/>
      </c>
    </row>
    <row r="118">
      <c r="A118" s="13" t="inlineStr">
        <is>
          <t>116</t>
        </is>
      </c>
      <c r="B118" t="inlineStr">
        <is>
          <t>LIBRE</t>
        </is>
      </c>
      <c r="C118" s="14" t="n"/>
      <c r="E118" s="15">
        <f>IF($G118&lt;&gt;"PAGADO","",IFERROR(IF(VLOOKUP($A118,COMPRADORES!$A:$D,4,FALSE)="NO","Reservado",LEFT(VLOOKUP($A118,COMPRADORES!$A:$D,2,FALSE),3)&amp;"***"&amp;IF(TRIM(MID(VLOOKUP($A118,COMPRADORES!$A:$D,2,FALSE)&amp;" ",FIND(" ",VLOOKUP($A118,COMPRADORES!$A:$D,2,FALSE)&amp;" ")+1,99))="",""," "&amp;LEFT(TRIM(MID(VLOOKUP($A118,COMPRADORES!$A:$D,2,FALSE)&amp;" ",FIND(" ",VLOOKUP($A118,COMPRADORES!$A:$D,2,FALSE)&amp;" ")+1,99)),1)&amp;".")),""))</f>
        <v/>
      </c>
      <c r="F118" s="16">
        <f>IF($B118="PAGADO",MID("ABCDEFGHIJ",INT(VALUE($A118)/100)+1,1)&amp;"-"&amp;$A118,"")</f>
        <v/>
      </c>
      <c r="G118" s="16">
        <f>IF($B118="PAGADO","PAGADO",IF($B118="APARTADO",IF(NOT(ISNUMBER($C118)),"APARTADO",IF($C118&lt;1,"APARTADO",IF(NOW()-$C118&gt;1,"LIBRE","APARTADO"))),"LIBRE"))</f>
        <v/>
      </c>
      <c r="H118" s="15">
        <f>IF($G118&lt;&gt;"APARTADO","",IF(NOT(ISNUMBER($C118)),"FALTA LA HORA",IF($C118&lt;1,"FALTA LA FECHA",TEXT($C118+1,"dd/mm hh:mm"))))</f>
        <v/>
      </c>
    </row>
    <row r="119">
      <c r="A119" s="13" t="inlineStr">
        <is>
          <t>117</t>
        </is>
      </c>
      <c r="B119" t="inlineStr">
        <is>
          <t>LIBRE</t>
        </is>
      </c>
      <c r="C119" s="14" t="n"/>
      <c r="E119" s="15">
        <f>IF($G119&lt;&gt;"PAGADO","",IFERROR(IF(VLOOKUP($A119,COMPRADORES!$A:$D,4,FALSE)="NO","Reservado",LEFT(VLOOKUP($A119,COMPRADORES!$A:$D,2,FALSE),3)&amp;"***"&amp;IF(TRIM(MID(VLOOKUP($A119,COMPRADORES!$A:$D,2,FALSE)&amp;" ",FIND(" ",VLOOKUP($A119,COMPRADORES!$A:$D,2,FALSE)&amp;" ")+1,99))="",""," "&amp;LEFT(TRIM(MID(VLOOKUP($A119,COMPRADORES!$A:$D,2,FALSE)&amp;" ",FIND(" ",VLOOKUP($A119,COMPRADORES!$A:$D,2,FALSE)&amp;" ")+1,99)),1)&amp;".")),""))</f>
        <v/>
      </c>
      <c r="F119" s="16">
        <f>IF($B119="PAGADO",MID("ABCDEFGHIJ",INT(VALUE($A119)/100)+1,1)&amp;"-"&amp;$A119,"")</f>
        <v/>
      </c>
      <c r="G119" s="16">
        <f>IF($B119="PAGADO","PAGADO",IF($B119="APARTADO",IF(NOT(ISNUMBER($C119)),"APARTADO",IF($C119&lt;1,"APARTADO",IF(NOW()-$C119&gt;1,"LIBRE","APARTADO"))),"LIBRE"))</f>
        <v/>
      </c>
      <c r="H119" s="15">
        <f>IF($G119&lt;&gt;"APARTADO","",IF(NOT(ISNUMBER($C119)),"FALTA LA HORA",IF($C119&lt;1,"FALTA LA FECHA",TEXT($C119+1,"dd/mm hh:mm"))))</f>
        <v/>
      </c>
    </row>
    <row r="120">
      <c r="A120" s="13" t="inlineStr">
        <is>
          <t>118</t>
        </is>
      </c>
      <c r="B120" t="inlineStr">
        <is>
          <t>LIBRE</t>
        </is>
      </c>
      <c r="C120" s="14" t="n"/>
      <c r="E120" s="15">
        <f>IF($G120&lt;&gt;"PAGADO","",IFERROR(IF(VLOOKUP($A120,COMPRADORES!$A:$D,4,FALSE)="NO","Reservado",LEFT(VLOOKUP($A120,COMPRADORES!$A:$D,2,FALSE),3)&amp;"***"&amp;IF(TRIM(MID(VLOOKUP($A120,COMPRADORES!$A:$D,2,FALSE)&amp;" ",FIND(" ",VLOOKUP($A120,COMPRADORES!$A:$D,2,FALSE)&amp;" ")+1,99))="",""," "&amp;LEFT(TRIM(MID(VLOOKUP($A120,COMPRADORES!$A:$D,2,FALSE)&amp;" ",FIND(" ",VLOOKUP($A120,COMPRADORES!$A:$D,2,FALSE)&amp;" ")+1,99)),1)&amp;".")),""))</f>
        <v/>
      </c>
      <c r="F120" s="16">
        <f>IF($B120="PAGADO",MID("ABCDEFGHIJ",INT(VALUE($A120)/100)+1,1)&amp;"-"&amp;$A120,"")</f>
        <v/>
      </c>
      <c r="G120" s="16">
        <f>IF($B120="PAGADO","PAGADO",IF($B120="APARTADO",IF(NOT(ISNUMBER($C120)),"APARTADO",IF($C120&lt;1,"APARTADO",IF(NOW()-$C120&gt;1,"LIBRE","APARTADO"))),"LIBRE"))</f>
        <v/>
      </c>
      <c r="H120" s="15">
        <f>IF($G120&lt;&gt;"APARTADO","",IF(NOT(ISNUMBER($C120)),"FALTA LA HORA",IF($C120&lt;1,"FALTA LA FECHA",TEXT($C120+1,"dd/mm hh:mm"))))</f>
        <v/>
      </c>
    </row>
    <row r="121">
      <c r="A121" s="13" t="inlineStr">
        <is>
          <t>119</t>
        </is>
      </c>
      <c r="B121" t="inlineStr">
        <is>
          <t>LIBRE</t>
        </is>
      </c>
      <c r="C121" s="14" t="n"/>
      <c r="E121" s="15">
        <f>IF($G121&lt;&gt;"PAGADO","",IFERROR(IF(VLOOKUP($A121,COMPRADORES!$A:$D,4,FALSE)="NO","Reservado",LEFT(VLOOKUP($A121,COMPRADORES!$A:$D,2,FALSE),3)&amp;"***"&amp;IF(TRIM(MID(VLOOKUP($A121,COMPRADORES!$A:$D,2,FALSE)&amp;" ",FIND(" ",VLOOKUP($A121,COMPRADORES!$A:$D,2,FALSE)&amp;" ")+1,99))="",""," "&amp;LEFT(TRIM(MID(VLOOKUP($A121,COMPRADORES!$A:$D,2,FALSE)&amp;" ",FIND(" ",VLOOKUP($A121,COMPRADORES!$A:$D,2,FALSE)&amp;" ")+1,99)),1)&amp;".")),""))</f>
        <v/>
      </c>
      <c r="F121" s="16">
        <f>IF($B121="PAGADO",MID("ABCDEFGHIJ",INT(VALUE($A121)/100)+1,1)&amp;"-"&amp;$A121,"")</f>
        <v/>
      </c>
      <c r="G121" s="16">
        <f>IF($B121="PAGADO","PAGADO",IF($B121="APARTADO",IF(NOT(ISNUMBER($C121)),"APARTADO",IF($C121&lt;1,"APARTADO",IF(NOW()-$C121&gt;1,"LIBRE","APARTADO"))),"LIBRE"))</f>
        <v/>
      </c>
      <c r="H121" s="15">
        <f>IF($G121&lt;&gt;"APARTADO","",IF(NOT(ISNUMBER($C121)),"FALTA LA HORA",IF($C121&lt;1,"FALTA LA FECHA",TEXT($C121+1,"dd/mm hh:mm"))))</f>
        <v/>
      </c>
    </row>
    <row r="122">
      <c r="A122" s="13" t="inlineStr">
        <is>
          <t>120</t>
        </is>
      </c>
      <c r="B122" t="inlineStr">
        <is>
          <t>LIBRE</t>
        </is>
      </c>
      <c r="C122" s="14" t="n"/>
      <c r="E122" s="15">
        <f>IF($G122&lt;&gt;"PAGADO","",IFERROR(IF(VLOOKUP($A122,COMPRADORES!$A:$D,4,FALSE)="NO","Reservado",LEFT(VLOOKUP($A122,COMPRADORES!$A:$D,2,FALSE),3)&amp;"***"&amp;IF(TRIM(MID(VLOOKUP($A122,COMPRADORES!$A:$D,2,FALSE)&amp;" ",FIND(" ",VLOOKUP($A122,COMPRADORES!$A:$D,2,FALSE)&amp;" ")+1,99))="",""," "&amp;LEFT(TRIM(MID(VLOOKUP($A122,COMPRADORES!$A:$D,2,FALSE)&amp;" ",FIND(" ",VLOOKUP($A122,COMPRADORES!$A:$D,2,FALSE)&amp;" ")+1,99)),1)&amp;".")),""))</f>
        <v/>
      </c>
      <c r="F122" s="16">
        <f>IF($B122="PAGADO",MID("ABCDEFGHIJ",INT(VALUE($A122)/100)+1,1)&amp;"-"&amp;$A122,"")</f>
        <v/>
      </c>
      <c r="G122" s="16">
        <f>IF($B122="PAGADO","PAGADO",IF($B122="APARTADO",IF(NOT(ISNUMBER($C122)),"APARTADO",IF($C122&lt;1,"APARTADO",IF(NOW()-$C122&gt;1,"LIBRE","APARTADO"))),"LIBRE"))</f>
        <v/>
      </c>
      <c r="H122" s="15">
        <f>IF($G122&lt;&gt;"APARTADO","",IF(NOT(ISNUMBER($C122)),"FALTA LA HORA",IF($C122&lt;1,"FALTA LA FECHA",TEXT($C122+1,"dd/mm hh:mm"))))</f>
        <v/>
      </c>
    </row>
    <row r="123">
      <c r="A123" s="13" t="inlineStr">
        <is>
          <t>121</t>
        </is>
      </c>
      <c r="B123" t="inlineStr">
        <is>
          <t>LIBRE</t>
        </is>
      </c>
      <c r="C123" s="14" t="n"/>
      <c r="E123" s="15">
        <f>IF($G123&lt;&gt;"PAGADO","",IFERROR(IF(VLOOKUP($A123,COMPRADORES!$A:$D,4,FALSE)="NO","Reservado",LEFT(VLOOKUP($A123,COMPRADORES!$A:$D,2,FALSE),3)&amp;"***"&amp;IF(TRIM(MID(VLOOKUP($A123,COMPRADORES!$A:$D,2,FALSE)&amp;" ",FIND(" ",VLOOKUP($A123,COMPRADORES!$A:$D,2,FALSE)&amp;" ")+1,99))="",""," "&amp;LEFT(TRIM(MID(VLOOKUP($A123,COMPRADORES!$A:$D,2,FALSE)&amp;" ",FIND(" ",VLOOKUP($A123,COMPRADORES!$A:$D,2,FALSE)&amp;" ")+1,99)),1)&amp;".")),""))</f>
        <v/>
      </c>
      <c r="F123" s="16">
        <f>IF($B123="PAGADO",MID("ABCDEFGHIJ",INT(VALUE($A123)/100)+1,1)&amp;"-"&amp;$A123,"")</f>
        <v/>
      </c>
      <c r="G123" s="16">
        <f>IF($B123="PAGADO","PAGADO",IF($B123="APARTADO",IF(NOT(ISNUMBER($C123)),"APARTADO",IF($C123&lt;1,"APARTADO",IF(NOW()-$C123&gt;1,"LIBRE","APARTADO"))),"LIBRE"))</f>
        <v/>
      </c>
      <c r="H123" s="15">
        <f>IF($G123&lt;&gt;"APARTADO","",IF(NOT(ISNUMBER($C123)),"FALTA LA HORA",IF($C123&lt;1,"FALTA LA FECHA",TEXT($C123+1,"dd/mm hh:mm"))))</f>
        <v/>
      </c>
    </row>
    <row r="124">
      <c r="A124" s="13" t="inlineStr">
        <is>
          <t>122</t>
        </is>
      </c>
      <c r="B124" t="inlineStr">
        <is>
          <t>LIBRE</t>
        </is>
      </c>
      <c r="C124" s="14" t="n"/>
      <c r="E124" s="15">
        <f>IF($G124&lt;&gt;"PAGADO","",IFERROR(IF(VLOOKUP($A124,COMPRADORES!$A:$D,4,FALSE)="NO","Reservado",LEFT(VLOOKUP($A124,COMPRADORES!$A:$D,2,FALSE),3)&amp;"***"&amp;IF(TRIM(MID(VLOOKUP($A124,COMPRADORES!$A:$D,2,FALSE)&amp;" ",FIND(" ",VLOOKUP($A124,COMPRADORES!$A:$D,2,FALSE)&amp;" ")+1,99))="",""," "&amp;LEFT(TRIM(MID(VLOOKUP($A124,COMPRADORES!$A:$D,2,FALSE)&amp;" ",FIND(" ",VLOOKUP($A124,COMPRADORES!$A:$D,2,FALSE)&amp;" ")+1,99)),1)&amp;".")),""))</f>
        <v/>
      </c>
      <c r="F124" s="16">
        <f>IF($B124="PAGADO",MID("ABCDEFGHIJ",INT(VALUE($A124)/100)+1,1)&amp;"-"&amp;$A124,"")</f>
        <v/>
      </c>
      <c r="G124" s="16">
        <f>IF($B124="PAGADO","PAGADO",IF($B124="APARTADO",IF(NOT(ISNUMBER($C124)),"APARTADO",IF($C124&lt;1,"APARTADO",IF(NOW()-$C124&gt;1,"LIBRE","APARTADO"))),"LIBRE"))</f>
        <v/>
      </c>
      <c r="H124" s="15">
        <f>IF($G124&lt;&gt;"APARTADO","",IF(NOT(ISNUMBER($C124)),"FALTA LA HORA",IF($C124&lt;1,"FALTA LA FECHA",TEXT($C124+1,"dd/mm hh:mm"))))</f>
        <v/>
      </c>
    </row>
    <row r="125">
      <c r="A125" s="13" t="inlineStr">
        <is>
          <t>123</t>
        </is>
      </c>
      <c r="B125" t="inlineStr">
        <is>
          <t>LIBRE</t>
        </is>
      </c>
      <c r="C125" s="14" t="n"/>
      <c r="E125" s="15">
        <f>IF($G125&lt;&gt;"PAGADO","",IFERROR(IF(VLOOKUP($A125,COMPRADORES!$A:$D,4,FALSE)="NO","Reservado",LEFT(VLOOKUP($A125,COMPRADORES!$A:$D,2,FALSE),3)&amp;"***"&amp;IF(TRIM(MID(VLOOKUP($A125,COMPRADORES!$A:$D,2,FALSE)&amp;" ",FIND(" ",VLOOKUP($A125,COMPRADORES!$A:$D,2,FALSE)&amp;" ")+1,99))="",""," "&amp;LEFT(TRIM(MID(VLOOKUP($A125,COMPRADORES!$A:$D,2,FALSE)&amp;" ",FIND(" ",VLOOKUP($A125,COMPRADORES!$A:$D,2,FALSE)&amp;" ")+1,99)),1)&amp;".")),""))</f>
        <v/>
      </c>
      <c r="F125" s="16">
        <f>IF($B125="PAGADO",MID("ABCDEFGHIJ",INT(VALUE($A125)/100)+1,1)&amp;"-"&amp;$A125,"")</f>
        <v/>
      </c>
      <c r="G125" s="16">
        <f>IF($B125="PAGADO","PAGADO",IF($B125="APARTADO",IF(NOT(ISNUMBER($C125)),"APARTADO",IF($C125&lt;1,"APARTADO",IF(NOW()-$C125&gt;1,"LIBRE","APARTADO"))),"LIBRE"))</f>
        <v/>
      </c>
      <c r="H125" s="15">
        <f>IF($G125&lt;&gt;"APARTADO","",IF(NOT(ISNUMBER($C125)),"FALTA LA HORA",IF($C125&lt;1,"FALTA LA FECHA",TEXT($C125+1,"dd/mm hh:mm"))))</f>
        <v/>
      </c>
    </row>
    <row r="126">
      <c r="A126" s="13" t="inlineStr">
        <is>
          <t>124</t>
        </is>
      </c>
      <c r="B126" t="inlineStr">
        <is>
          <t>LIBRE</t>
        </is>
      </c>
      <c r="C126" s="14" t="n"/>
      <c r="E126" s="15">
        <f>IF($G126&lt;&gt;"PAGADO","",IFERROR(IF(VLOOKUP($A126,COMPRADORES!$A:$D,4,FALSE)="NO","Reservado",LEFT(VLOOKUP($A126,COMPRADORES!$A:$D,2,FALSE),3)&amp;"***"&amp;IF(TRIM(MID(VLOOKUP($A126,COMPRADORES!$A:$D,2,FALSE)&amp;" ",FIND(" ",VLOOKUP($A126,COMPRADORES!$A:$D,2,FALSE)&amp;" ")+1,99))="",""," "&amp;LEFT(TRIM(MID(VLOOKUP($A126,COMPRADORES!$A:$D,2,FALSE)&amp;" ",FIND(" ",VLOOKUP($A126,COMPRADORES!$A:$D,2,FALSE)&amp;" ")+1,99)),1)&amp;".")),""))</f>
        <v/>
      </c>
      <c r="F126" s="16">
        <f>IF($B126="PAGADO",MID("ABCDEFGHIJ",INT(VALUE($A126)/100)+1,1)&amp;"-"&amp;$A126,"")</f>
        <v/>
      </c>
      <c r="G126" s="16">
        <f>IF($B126="PAGADO","PAGADO",IF($B126="APARTADO",IF(NOT(ISNUMBER($C126)),"APARTADO",IF($C126&lt;1,"APARTADO",IF(NOW()-$C126&gt;1,"LIBRE","APARTADO"))),"LIBRE"))</f>
        <v/>
      </c>
      <c r="H126" s="15">
        <f>IF($G126&lt;&gt;"APARTADO","",IF(NOT(ISNUMBER($C126)),"FALTA LA HORA",IF($C126&lt;1,"FALTA LA FECHA",TEXT($C126+1,"dd/mm hh:mm"))))</f>
        <v/>
      </c>
    </row>
    <row r="127">
      <c r="A127" s="13" t="inlineStr">
        <is>
          <t>125</t>
        </is>
      </c>
      <c r="B127" t="inlineStr">
        <is>
          <t>LIBRE</t>
        </is>
      </c>
      <c r="C127" s="14" t="n"/>
      <c r="E127" s="15">
        <f>IF($G127&lt;&gt;"PAGADO","",IFERROR(IF(VLOOKUP($A127,COMPRADORES!$A:$D,4,FALSE)="NO","Reservado",LEFT(VLOOKUP($A127,COMPRADORES!$A:$D,2,FALSE),3)&amp;"***"&amp;IF(TRIM(MID(VLOOKUP($A127,COMPRADORES!$A:$D,2,FALSE)&amp;" ",FIND(" ",VLOOKUP($A127,COMPRADORES!$A:$D,2,FALSE)&amp;" ")+1,99))="",""," "&amp;LEFT(TRIM(MID(VLOOKUP($A127,COMPRADORES!$A:$D,2,FALSE)&amp;" ",FIND(" ",VLOOKUP($A127,COMPRADORES!$A:$D,2,FALSE)&amp;" ")+1,99)),1)&amp;".")),""))</f>
        <v/>
      </c>
      <c r="F127" s="16">
        <f>IF($B127="PAGADO",MID("ABCDEFGHIJ",INT(VALUE($A127)/100)+1,1)&amp;"-"&amp;$A127,"")</f>
        <v/>
      </c>
      <c r="G127" s="16">
        <f>IF($B127="PAGADO","PAGADO",IF($B127="APARTADO",IF(NOT(ISNUMBER($C127)),"APARTADO",IF($C127&lt;1,"APARTADO",IF(NOW()-$C127&gt;1,"LIBRE","APARTADO"))),"LIBRE"))</f>
        <v/>
      </c>
      <c r="H127" s="15">
        <f>IF($G127&lt;&gt;"APARTADO","",IF(NOT(ISNUMBER($C127)),"FALTA LA HORA",IF($C127&lt;1,"FALTA LA FECHA",TEXT($C127+1,"dd/mm hh:mm"))))</f>
        <v/>
      </c>
    </row>
    <row r="128">
      <c r="A128" s="13" t="inlineStr">
        <is>
          <t>126</t>
        </is>
      </c>
      <c r="B128" t="inlineStr">
        <is>
          <t>LIBRE</t>
        </is>
      </c>
      <c r="C128" s="14" t="n"/>
      <c r="E128" s="15">
        <f>IF($G128&lt;&gt;"PAGADO","",IFERROR(IF(VLOOKUP($A128,COMPRADORES!$A:$D,4,FALSE)="NO","Reservado",LEFT(VLOOKUP($A128,COMPRADORES!$A:$D,2,FALSE),3)&amp;"***"&amp;IF(TRIM(MID(VLOOKUP($A128,COMPRADORES!$A:$D,2,FALSE)&amp;" ",FIND(" ",VLOOKUP($A128,COMPRADORES!$A:$D,2,FALSE)&amp;" ")+1,99))="",""," "&amp;LEFT(TRIM(MID(VLOOKUP($A128,COMPRADORES!$A:$D,2,FALSE)&amp;" ",FIND(" ",VLOOKUP($A128,COMPRADORES!$A:$D,2,FALSE)&amp;" ")+1,99)),1)&amp;".")),""))</f>
        <v/>
      </c>
      <c r="F128" s="16">
        <f>IF($B128="PAGADO",MID("ABCDEFGHIJ",INT(VALUE($A128)/100)+1,1)&amp;"-"&amp;$A128,"")</f>
        <v/>
      </c>
      <c r="G128" s="16">
        <f>IF($B128="PAGADO","PAGADO",IF($B128="APARTADO",IF(NOT(ISNUMBER($C128)),"APARTADO",IF($C128&lt;1,"APARTADO",IF(NOW()-$C128&gt;1,"LIBRE","APARTADO"))),"LIBRE"))</f>
        <v/>
      </c>
      <c r="H128" s="15">
        <f>IF($G128&lt;&gt;"APARTADO","",IF(NOT(ISNUMBER($C128)),"FALTA LA HORA",IF($C128&lt;1,"FALTA LA FECHA",TEXT($C128+1,"dd/mm hh:mm"))))</f>
        <v/>
      </c>
    </row>
    <row r="129">
      <c r="A129" s="13" t="inlineStr">
        <is>
          <t>127</t>
        </is>
      </c>
      <c r="B129" t="inlineStr">
        <is>
          <t>LIBRE</t>
        </is>
      </c>
      <c r="C129" s="14" t="n"/>
      <c r="E129" s="15">
        <f>IF($G129&lt;&gt;"PAGADO","",IFERROR(IF(VLOOKUP($A129,COMPRADORES!$A:$D,4,FALSE)="NO","Reservado",LEFT(VLOOKUP($A129,COMPRADORES!$A:$D,2,FALSE),3)&amp;"***"&amp;IF(TRIM(MID(VLOOKUP($A129,COMPRADORES!$A:$D,2,FALSE)&amp;" ",FIND(" ",VLOOKUP($A129,COMPRADORES!$A:$D,2,FALSE)&amp;" ")+1,99))="",""," "&amp;LEFT(TRIM(MID(VLOOKUP($A129,COMPRADORES!$A:$D,2,FALSE)&amp;" ",FIND(" ",VLOOKUP($A129,COMPRADORES!$A:$D,2,FALSE)&amp;" ")+1,99)),1)&amp;".")),""))</f>
        <v/>
      </c>
      <c r="F129" s="16">
        <f>IF($B129="PAGADO",MID("ABCDEFGHIJ",INT(VALUE($A129)/100)+1,1)&amp;"-"&amp;$A129,"")</f>
        <v/>
      </c>
      <c r="G129" s="16">
        <f>IF($B129="PAGADO","PAGADO",IF($B129="APARTADO",IF(NOT(ISNUMBER($C129)),"APARTADO",IF($C129&lt;1,"APARTADO",IF(NOW()-$C129&gt;1,"LIBRE","APARTADO"))),"LIBRE"))</f>
        <v/>
      </c>
      <c r="H129" s="15">
        <f>IF($G129&lt;&gt;"APARTADO","",IF(NOT(ISNUMBER($C129)),"FALTA LA HORA",IF($C129&lt;1,"FALTA LA FECHA",TEXT($C129+1,"dd/mm hh:mm"))))</f>
        <v/>
      </c>
    </row>
    <row r="130">
      <c r="A130" s="13" t="inlineStr">
        <is>
          <t>128</t>
        </is>
      </c>
      <c r="B130" t="inlineStr">
        <is>
          <t>LIBRE</t>
        </is>
      </c>
      <c r="C130" s="14" t="n"/>
      <c r="E130" s="15">
        <f>IF($G130&lt;&gt;"PAGADO","",IFERROR(IF(VLOOKUP($A130,COMPRADORES!$A:$D,4,FALSE)="NO","Reservado",LEFT(VLOOKUP($A130,COMPRADORES!$A:$D,2,FALSE),3)&amp;"***"&amp;IF(TRIM(MID(VLOOKUP($A130,COMPRADORES!$A:$D,2,FALSE)&amp;" ",FIND(" ",VLOOKUP($A130,COMPRADORES!$A:$D,2,FALSE)&amp;" ")+1,99))="",""," "&amp;LEFT(TRIM(MID(VLOOKUP($A130,COMPRADORES!$A:$D,2,FALSE)&amp;" ",FIND(" ",VLOOKUP($A130,COMPRADORES!$A:$D,2,FALSE)&amp;" ")+1,99)),1)&amp;".")),""))</f>
        <v/>
      </c>
      <c r="F130" s="16">
        <f>IF($B130="PAGADO",MID("ABCDEFGHIJ",INT(VALUE($A130)/100)+1,1)&amp;"-"&amp;$A130,"")</f>
        <v/>
      </c>
      <c r="G130" s="16">
        <f>IF($B130="PAGADO","PAGADO",IF($B130="APARTADO",IF(NOT(ISNUMBER($C130)),"APARTADO",IF($C130&lt;1,"APARTADO",IF(NOW()-$C130&gt;1,"LIBRE","APARTADO"))),"LIBRE"))</f>
        <v/>
      </c>
      <c r="H130" s="15">
        <f>IF($G130&lt;&gt;"APARTADO","",IF(NOT(ISNUMBER($C130)),"FALTA LA HORA",IF($C130&lt;1,"FALTA LA FECHA",TEXT($C130+1,"dd/mm hh:mm"))))</f>
        <v/>
      </c>
    </row>
    <row r="131">
      <c r="A131" s="13" t="inlineStr">
        <is>
          <t>129</t>
        </is>
      </c>
      <c r="B131" t="inlineStr">
        <is>
          <t>LIBRE</t>
        </is>
      </c>
      <c r="C131" s="14" t="n"/>
      <c r="E131" s="15">
        <f>IF($G131&lt;&gt;"PAGADO","",IFERROR(IF(VLOOKUP($A131,COMPRADORES!$A:$D,4,FALSE)="NO","Reservado",LEFT(VLOOKUP($A131,COMPRADORES!$A:$D,2,FALSE),3)&amp;"***"&amp;IF(TRIM(MID(VLOOKUP($A131,COMPRADORES!$A:$D,2,FALSE)&amp;" ",FIND(" ",VLOOKUP($A131,COMPRADORES!$A:$D,2,FALSE)&amp;" ")+1,99))="",""," "&amp;LEFT(TRIM(MID(VLOOKUP($A131,COMPRADORES!$A:$D,2,FALSE)&amp;" ",FIND(" ",VLOOKUP($A131,COMPRADORES!$A:$D,2,FALSE)&amp;" ")+1,99)),1)&amp;".")),""))</f>
        <v/>
      </c>
      <c r="F131" s="16">
        <f>IF($B131="PAGADO",MID("ABCDEFGHIJ",INT(VALUE($A131)/100)+1,1)&amp;"-"&amp;$A131,"")</f>
        <v/>
      </c>
      <c r="G131" s="16">
        <f>IF($B131="PAGADO","PAGADO",IF($B131="APARTADO",IF(NOT(ISNUMBER($C131)),"APARTADO",IF($C131&lt;1,"APARTADO",IF(NOW()-$C131&gt;1,"LIBRE","APARTADO"))),"LIBRE"))</f>
        <v/>
      </c>
      <c r="H131" s="15">
        <f>IF($G131&lt;&gt;"APARTADO","",IF(NOT(ISNUMBER($C131)),"FALTA LA HORA",IF($C131&lt;1,"FALTA LA FECHA",TEXT($C131+1,"dd/mm hh:mm"))))</f>
        <v/>
      </c>
    </row>
    <row r="132">
      <c r="A132" s="13" t="inlineStr">
        <is>
          <t>130</t>
        </is>
      </c>
      <c r="B132" t="inlineStr">
        <is>
          <t>LIBRE</t>
        </is>
      </c>
      <c r="C132" s="14" t="n"/>
      <c r="E132" s="15">
        <f>IF($G132&lt;&gt;"PAGADO","",IFERROR(IF(VLOOKUP($A132,COMPRADORES!$A:$D,4,FALSE)="NO","Reservado",LEFT(VLOOKUP($A132,COMPRADORES!$A:$D,2,FALSE),3)&amp;"***"&amp;IF(TRIM(MID(VLOOKUP($A132,COMPRADORES!$A:$D,2,FALSE)&amp;" ",FIND(" ",VLOOKUP($A132,COMPRADORES!$A:$D,2,FALSE)&amp;" ")+1,99))="",""," "&amp;LEFT(TRIM(MID(VLOOKUP($A132,COMPRADORES!$A:$D,2,FALSE)&amp;" ",FIND(" ",VLOOKUP($A132,COMPRADORES!$A:$D,2,FALSE)&amp;" ")+1,99)),1)&amp;".")),""))</f>
        <v/>
      </c>
      <c r="F132" s="16">
        <f>IF($B132="PAGADO",MID("ABCDEFGHIJ",INT(VALUE($A132)/100)+1,1)&amp;"-"&amp;$A132,"")</f>
        <v/>
      </c>
      <c r="G132" s="16">
        <f>IF($B132="PAGADO","PAGADO",IF($B132="APARTADO",IF(NOT(ISNUMBER($C132)),"APARTADO",IF($C132&lt;1,"APARTADO",IF(NOW()-$C132&gt;1,"LIBRE","APARTADO"))),"LIBRE"))</f>
        <v/>
      </c>
      <c r="H132" s="15">
        <f>IF($G132&lt;&gt;"APARTADO","",IF(NOT(ISNUMBER($C132)),"FALTA LA HORA",IF($C132&lt;1,"FALTA LA FECHA",TEXT($C132+1,"dd/mm hh:mm"))))</f>
        <v/>
      </c>
    </row>
    <row r="133">
      <c r="A133" s="13" t="inlineStr">
        <is>
          <t>131</t>
        </is>
      </c>
      <c r="B133" t="inlineStr">
        <is>
          <t>LIBRE</t>
        </is>
      </c>
      <c r="C133" s="14" t="n"/>
      <c r="E133" s="15">
        <f>IF($G133&lt;&gt;"PAGADO","",IFERROR(IF(VLOOKUP($A133,COMPRADORES!$A:$D,4,FALSE)="NO","Reservado",LEFT(VLOOKUP($A133,COMPRADORES!$A:$D,2,FALSE),3)&amp;"***"&amp;IF(TRIM(MID(VLOOKUP($A133,COMPRADORES!$A:$D,2,FALSE)&amp;" ",FIND(" ",VLOOKUP($A133,COMPRADORES!$A:$D,2,FALSE)&amp;" ")+1,99))="",""," "&amp;LEFT(TRIM(MID(VLOOKUP($A133,COMPRADORES!$A:$D,2,FALSE)&amp;" ",FIND(" ",VLOOKUP($A133,COMPRADORES!$A:$D,2,FALSE)&amp;" ")+1,99)),1)&amp;".")),""))</f>
        <v/>
      </c>
      <c r="F133" s="16">
        <f>IF($B133="PAGADO",MID("ABCDEFGHIJ",INT(VALUE($A133)/100)+1,1)&amp;"-"&amp;$A133,"")</f>
        <v/>
      </c>
      <c r="G133" s="16">
        <f>IF($B133="PAGADO","PAGADO",IF($B133="APARTADO",IF(NOT(ISNUMBER($C133)),"APARTADO",IF($C133&lt;1,"APARTADO",IF(NOW()-$C133&gt;1,"LIBRE","APARTADO"))),"LIBRE"))</f>
        <v/>
      </c>
      <c r="H133" s="15">
        <f>IF($G133&lt;&gt;"APARTADO","",IF(NOT(ISNUMBER($C133)),"FALTA LA HORA",IF($C133&lt;1,"FALTA LA FECHA",TEXT($C133+1,"dd/mm hh:mm"))))</f>
        <v/>
      </c>
    </row>
    <row r="134">
      <c r="A134" s="13" t="inlineStr">
        <is>
          <t>132</t>
        </is>
      </c>
      <c r="B134" t="inlineStr">
        <is>
          <t>LIBRE</t>
        </is>
      </c>
      <c r="C134" s="14" t="n"/>
      <c r="E134" s="15">
        <f>IF($G134&lt;&gt;"PAGADO","",IFERROR(IF(VLOOKUP($A134,COMPRADORES!$A:$D,4,FALSE)="NO","Reservado",LEFT(VLOOKUP($A134,COMPRADORES!$A:$D,2,FALSE),3)&amp;"***"&amp;IF(TRIM(MID(VLOOKUP($A134,COMPRADORES!$A:$D,2,FALSE)&amp;" ",FIND(" ",VLOOKUP($A134,COMPRADORES!$A:$D,2,FALSE)&amp;" ")+1,99))="",""," "&amp;LEFT(TRIM(MID(VLOOKUP($A134,COMPRADORES!$A:$D,2,FALSE)&amp;" ",FIND(" ",VLOOKUP($A134,COMPRADORES!$A:$D,2,FALSE)&amp;" ")+1,99)),1)&amp;".")),""))</f>
        <v/>
      </c>
      <c r="F134" s="16">
        <f>IF($B134="PAGADO",MID("ABCDEFGHIJ",INT(VALUE($A134)/100)+1,1)&amp;"-"&amp;$A134,"")</f>
        <v/>
      </c>
      <c r="G134" s="16">
        <f>IF($B134="PAGADO","PAGADO",IF($B134="APARTADO",IF(NOT(ISNUMBER($C134)),"APARTADO",IF($C134&lt;1,"APARTADO",IF(NOW()-$C134&gt;1,"LIBRE","APARTADO"))),"LIBRE"))</f>
        <v/>
      </c>
      <c r="H134" s="15">
        <f>IF($G134&lt;&gt;"APARTADO","",IF(NOT(ISNUMBER($C134)),"FALTA LA HORA",IF($C134&lt;1,"FALTA LA FECHA",TEXT($C134+1,"dd/mm hh:mm"))))</f>
        <v/>
      </c>
    </row>
    <row r="135">
      <c r="A135" s="13" t="inlineStr">
        <is>
          <t>133</t>
        </is>
      </c>
      <c r="B135" t="inlineStr">
        <is>
          <t>LIBRE</t>
        </is>
      </c>
      <c r="C135" s="14" t="n"/>
      <c r="E135" s="15">
        <f>IF($G135&lt;&gt;"PAGADO","",IFERROR(IF(VLOOKUP($A135,COMPRADORES!$A:$D,4,FALSE)="NO","Reservado",LEFT(VLOOKUP($A135,COMPRADORES!$A:$D,2,FALSE),3)&amp;"***"&amp;IF(TRIM(MID(VLOOKUP($A135,COMPRADORES!$A:$D,2,FALSE)&amp;" ",FIND(" ",VLOOKUP($A135,COMPRADORES!$A:$D,2,FALSE)&amp;" ")+1,99))="",""," "&amp;LEFT(TRIM(MID(VLOOKUP($A135,COMPRADORES!$A:$D,2,FALSE)&amp;" ",FIND(" ",VLOOKUP($A135,COMPRADORES!$A:$D,2,FALSE)&amp;" ")+1,99)),1)&amp;".")),""))</f>
        <v/>
      </c>
      <c r="F135" s="16">
        <f>IF($B135="PAGADO",MID("ABCDEFGHIJ",INT(VALUE($A135)/100)+1,1)&amp;"-"&amp;$A135,"")</f>
        <v/>
      </c>
      <c r="G135" s="16">
        <f>IF($B135="PAGADO","PAGADO",IF($B135="APARTADO",IF(NOT(ISNUMBER($C135)),"APARTADO",IF($C135&lt;1,"APARTADO",IF(NOW()-$C135&gt;1,"LIBRE","APARTADO"))),"LIBRE"))</f>
        <v/>
      </c>
      <c r="H135" s="15">
        <f>IF($G135&lt;&gt;"APARTADO","",IF(NOT(ISNUMBER($C135)),"FALTA LA HORA",IF($C135&lt;1,"FALTA LA FECHA",TEXT($C135+1,"dd/mm hh:mm"))))</f>
        <v/>
      </c>
    </row>
    <row r="136">
      <c r="A136" s="13" t="inlineStr">
        <is>
          <t>134</t>
        </is>
      </c>
      <c r="B136" t="inlineStr">
        <is>
          <t>LIBRE</t>
        </is>
      </c>
      <c r="C136" s="14" t="n"/>
      <c r="E136" s="15">
        <f>IF($G136&lt;&gt;"PAGADO","",IFERROR(IF(VLOOKUP($A136,COMPRADORES!$A:$D,4,FALSE)="NO","Reservado",LEFT(VLOOKUP($A136,COMPRADORES!$A:$D,2,FALSE),3)&amp;"***"&amp;IF(TRIM(MID(VLOOKUP($A136,COMPRADORES!$A:$D,2,FALSE)&amp;" ",FIND(" ",VLOOKUP($A136,COMPRADORES!$A:$D,2,FALSE)&amp;" ")+1,99))="",""," "&amp;LEFT(TRIM(MID(VLOOKUP($A136,COMPRADORES!$A:$D,2,FALSE)&amp;" ",FIND(" ",VLOOKUP($A136,COMPRADORES!$A:$D,2,FALSE)&amp;" ")+1,99)),1)&amp;".")),""))</f>
        <v/>
      </c>
      <c r="F136" s="16">
        <f>IF($B136="PAGADO",MID("ABCDEFGHIJ",INT(VALUE($A136)/100)+1,1)&amp;"-"&amp;$A136,"")</f>
        <v/>
      </c>
      <c r="G136" s="16">
        <f>IF($B136="PAGADO","PAGADO",IF($B136="APARTADO",IF(NOT(ISNUMBER($C136)),"APARTADO",IF($C136&lt;1,"APARTADO",IF(NOW()-$C136&gt;1,"LIBRE","APARTADO"))),"LIBRE"))</f>
        <v/>
      </c>
      <c r="H136" s="15">
        <f>IF($G136&lt;&gt;"APARTADO","",IF(NOT(ISNUMBER($C136)),"FALTA LA HORA",IF($C136&lt;1,"FALTA LA FECHA",TEXT($C136+1,"dd/mm hh:mm"))))</f>
        <v/>
      </c>
    </row>
    <row r="137">
      <c r="A137" s="13" t="inlineStr">
        <is>
          <t>135</t>
        </is>
      </c>
      <c r="B137" t="inlineStr">
        <is>
          <t>LIBRE</t>
        </is>
      </c>
      <c r="C137" s="14" t="n"/>
      <c r="E137" s="15">
        <f>IF($G137&lt;&gt;"PAGADO","",IFERROR(IF(VLOOKUP($A137,COMPRADORES!$A:$D,4,FALSE)="NO","Reservado",LEFT(VLOOKUP($A137,COMPRADORES!$A:$D,2,FALSE),3)&amp;"***"&amp;IF(TRIM(MID(VLOOKUP($A137,COMPRADORES!$A:$D,2,FALSE)&amp;" ",FIND(" ",VLOOKUP($A137,COMPRADORES!$A:$D,2,FALSE)&amp;" ")+1,99))="",""," "&amp;LEFT(TRIM(MID(VLOOKUP($A137,COMPRADORES!$A:$D,2,FALSE)&amp;" ",FIND(" ",VLOOKUP($A137,COMPRADORES!$A:$D,2,FALSE)&amp;" ")+1,99)),1)&amp;".")),""))</f>
        <v/>
      </c>
      <c r="F137" s="16">
        <f>IF($B137="PAGADO",MID("ABCDEFGHIJ",INT(VALUE($A137)/100)+1,1)&amp;"-"&amp;$A137,"")</f>
        <v/>
      </c>
      <c r="G137" s="16">
        <f>IF($B137="PAGADO","PAGADO",IF($B137="APARTADO",IF(NOT(ISNUMBER($C137)),"APARTADO",IF($C137&lt;1,"APARTADO",IF(NOW()-$C137&gt;1,"LIBRE","APARTADO"))),"LIBRE"))</f>
        <v/>
      </c>
      <c r="H137" s="15">
        <f>IF($G137&lt;&gt;"APARTADO","",IF(NOT(ISNUMBER($C137)),"FALTA LA HORA",IF($C137&lt;1,"FALTA LA FECHA",TEXT($C137+1,"dd/mm hh:mm"))))</f>
        <v/>
      </c>
    </row>
    <row r="138">
      <c r="A138" s="13" t="inlineStr">
        <is>
          <t>136</t>
        </is>
      </c>
      <c r="B138" t="inlineStr">
        <is>
          <t>LIBRE</t>
        </is>
      </c>
      <c r="C138" s="14" t="n"/>
      <c r="E138" s="15">
        <f>IF($G138&lt;&gt;"PAGADO","",IFERROR(IF(VLOOKUP($A138,COMPRADORES!$A:$D,4,FALSE)="NO","Reservado",LEFT(VLOOKUP($A138,COMPRADORES!$A:$D,2,FALSE),3)&amp;"***"&amp;IF(TRIM(MID(VLOOKUP($A138,COMPRADORES!$A:$D,2,FALSE)&amp;" ",FIND(" ",VLOOKUP($A138,COMPRADORES!$A:$D,2,FALSE)&amp;" ")+1,99))="",""," "&amp;LEFT(TRIM(MID(VLOOKUP($A138,COMPRADORES!$A:$D,2,FALSE)&amp;" ",FIND(" ",VLOOKUP($A138,COMPRADORES!$A:$D,2,FALSE)&amp;" ")+1,99)),1)&amp;".")),""))</f>
        <v/>
      </c>
      <c r="F138" s="16">
        <f>IF($B138="PAGADO",MID("ABCDEFGHIJ",INT(VALUE($A138)/100)+1,1)&amp;"-"&amp;$A138,"")</f>
        <v/>
      </c>
      <c r="G138" s="16">
        <f>IF($B138="PAGADO","PAGADO",IF($B138="APARTADO",IF(NOT(ISNUMBER($C138)),"APARTADO",IF($C138&lt;1,"APARTADO",IF(NOW()-$C138&gt;1,"LIBRE","APARTADO"))),"LIBRE"))</f>
        <v/>
      </c>
      <c r="H138" s="15">
        <f>IF($G138&lt;&gt;"APARTADO","",IF(NOT(ISNUMBER($C138)),"FALTA LA HORA",IF($C138&lt;1,"FALTA LA FECHA",TEXT($C138+1,"dd/mm hh:mm"))))</f>
        <v/>
      </c>
    </row>
    <row r="139">
      <c r="A139" s="13" t="inlineStr">
        <is>
          <t>137</t>
        </is>
      </c>
      <c r="B139" t="inlineStr">
        <is>
          <t>LIBRE</t>
        </is>
      </c>
      <c r="C139" s="14" t="n"/>
      <c r="E139" s="15">
        <f>IF($G139&lt;&gt;"PAGADO","",IFERROR(IF(VLOOKUP($A139,COMPRADORES!$A:$D,4,FALSE)="NO","Reservado",LEFT(VLOOKUP($A139,COMPRADORES!$A:$D,2,FALSE),3)&amp;"***"&amp;IF(TRIM(MID(VLOOKUP($A139,COMPRADORES!$A:$D,2,FALSE)&amp;" ",FIND(" ",VLOOKUP($A139,COMPRADORES!$A:$D,2,FALSE)&amp;" ")+1,99))="",""," "&amp;LEFT(TRIM(MID(VLOOKUP($A139,COMPRADORES!$A:$D,2,FALSE)&amp;" ",FIND(" ",VLOOKUP($A139,COMPRADORES!$A:$D,2,FALSE)&amp;" ")+1,99)),1)&amp;".")),""))</f>
        <v/>
      </c>
      <c r="F139" s="16">
        <f>IF($B139="PAGADO",MID("ABCDEFGHIJ",INT(VALUE($A139)/100)+1,1)&amp;"-"&amp;$A139,"")</f>
        <v/>
      </c>
      <c r="G139" s="16">
        <f>IF($B139="PAGADO","PAGADO",IF($B139="APARTADO",IF(NOT(ISNUMBER($C139)),"APARTADO",IF($C139&lt;1,"APARTADO",IF(NOW()-$C139&gt;1,"LIBRE","APARTADO"))),"LIBRE"))</f>
        <v/>
      </c>
      <c r="H139" s="15">
        <f>IF($G139&lt;&gt;"APARTADO","",IF(NOT(ISNUMBER($C139)),"FALTA LA HORA",IF($C139&lt;1,"FALTA LA FECHA",TEXT($C139+1,"dd/mm hh:mm"))))</f>
        <v/>
      </c>
    </row>
    <row r="140">
      <c r="A140" s="13" t="inlineStr">
        <is>
          <t>138</t>
        </is>
      </c>
      <c r="B140" t="inlineStr">
        <is>
          <t>LIBRE</t>
        </is>
      </c>
      <c r="C140" s="14" t="n"/>
      <c r="E140" s="15">
        <f>IF($G140&lt;&gt;"PAGADO","",IFERROR(IF(VLOOKUP($A140,COMPRADORES!$A:$D,4,FALSE)="NO","Reservado",LEFT(VLOOKUP($A140,COMPRADORES!$A:$D,2,FALSE),3)&amp;"***"&amp;IF(TRIM(MID(VLOOKUP($A140,COMPRADORES!$A:$D,2,FALSE)&amp;" ",FIND(" ",VLOOKUP($A140,COMPRADORES!$A:$D,2,FALSE)&amp;" ")+1,99))="",""," "&amp;LEFT(TRIM(MID(VLOOKUP($A140,COMPRADORES!$A:$D,2,FALSE)&amp;" ",FIND(" ",VLOOKUP($A140,COMPRADORES!$A:$D,2,FALSE)&amp;" ")+1,99)),1)&amp;".")),""))</f>
        <v/>
      </c>
      <c r="F140" s="16">
        <f>IF($B140="PAGADO",MID("ABCDEFGHIJ",INT(VALUE($A140)/100)+1,1)&amp;"-"&amp;$A140,"")</f>
        <v/>
      </c>
      <c r="G140" s="16">
        <f>IF($B140="PAGADO","PAGADO",IF($B140="APARTADO",IF(NOT(ISNUMBER($C140)),"APARTADO",IF($C140&lt;1,"APARTADO",IF(NOW()-$C140&gt;1,"LIBRE","APARTADO"))),"LIBRE"))</f>
        <v/>
      </c>
      <c r="H140" s="15">
        <f>IF($G140&lt;&gt;"APARTADO","",IF(NOT(ISNUMBER($C140)),"FALTA LA HORA",IF($C140&lt;1,"FALTA LA FECHA",TEXT($C140+1,"dd/mm hh:mm"))))</f>
        <v/>
      </c>
    </row>
    <row r="141">
      <c r="A141" s="13" t="inlineStr">
        <is>
          <t>139</t>
        </is>
      </c>
      <c r="B141" t="inlineStr">
        <is>
          <t>LIBRE</t>
        </is>
      </c>
      <c r="C141" s="14" t="n"/>
      <c r="E141" s="15">
        <f>IF($G141&lt;&gt;"PAGADO","",IFERROR(IF(VLOOKUP($A141,COMPRADORES!$A:$D,4,FALSE)="NO","Reservado",LEFT(VLOOKUP($A141,COMPRADORES!$A:$D,2,FALSE),3)&amp;"***"&amp;IF(TRIM(MID(VLOOKUP($A141,COMPRADORES!$A:$D,2,FALSE)&amp;" ",FIND(" ",VLOOKUP($A141,COMPRADORES!$A:$D,2,FALSE)&amp;" ")+1,99))="",""," "&amp;LEFT(TRIM(MID(VLOOKUP($A141,COMPRADORES!$A:$D,2,FALSE)&amp;" ",FIND(" ",VLOOKUP($A141,COMPRADORES!$A:$D,2,FALSE)&amp;" ")+1,99)),1)&amp;".")),""))</f>
        <v/>
      </c>
      <c r="F141" s="16">
        <f>IF($B141="PAGADO",MID("ABCDEFGHIJ",INT(VALUE($A141)/100)+1,1)&amp;"-"&amp;$A141,"")</f>
        <v/>
      </c>
      <c r="G141" s="16">
        <f>IF($B141="PAGADO","PAGADO",IF($B141="APARTADO",IF(NOT(ISNUMBER($C141)),"APARTADO",IF($C141&lt;1,"APARTADO",IF(NOW()-$C141&gt;1,"LIBRE","APARTADO"))),"LIBRE"))</f>
        <v/>
      </c>
      <c r="H141" s="15">
        <f>IF($G141&lt;&gt;"APARTADO","",IF(NOT(ISNUMBER($C141)),"FALTA LA HORA",IF($C141&lt;1,"FALTA LA FECHA",TEXT($C141+1,"dd/mm hh:mm"))))</f>
        <v/>
      </c>
    </row>
    <row r="142">
      <c r="A142" s="13" t="inlineStr">
        <is>
          <t>140</t>
        </is>
      </c>
      <c r="B142" t="inlineStr">
        <is>
          <t>LIBRE</t>
        </is>
      </c>
      <c r="C142" s="14" t="n"/>
      <c r="E142" s="15">
        <f>IF($G142&lt;&gt;"PAGADO","",IFERROR(IF(VLOOKUP($A142,COMPRADORES!$A:$D,4,FALSE)="NO","Reservado",LEFT(VLOOKUP($A142,COMPRADORES!$A:$D,2,FALSE),3)&amp;"***"&amp;IF(TRIM(MID(VLOOKUP($A142,COMPRADORES!$A:$D,2,FALSE)&amp;" ",FIND(" ",VLOOKUP($A142,COMPRADORES!$A:$D,2,FALSE)&amp;" ")+1,99))="",""," "&amp;LEFT(TRIM(MID(VLOOKUP($A142,COMPRADORES!$A:$D,2,FALSE)&amp;" ",FIND(" ",VLOOKUP($A142,COMPRADORES!$A:$D,2,FALSE)&amp;" ")+1,99)),1)&amp;".")),""))</f>
        <v/>
      </c>
      <c r="F142" s="16">
        <f>IF($B142="PAGADO",MID("ABCDEFGHIJ",INT(VALUE($A142)/100)+1,1)&amp;"-"&amp;$A142,"")</f>
        <v/>
      </c>
      <c r="G142" s="16">
        <f>IF($B142="PAGADO","PAGADO",IF($B142="APARTADO",IF(NOT(ISNUMBER($C142)),"APARTADO",IF($C142&lt;1,"APARTADO",IF(NOW()-$C142&gt;1,"LIBRE","APARTADO"))),"LIBRE"))</f>
        <v/>
      </c>
      <c r="H142" s="15">
        <f>IF($G142&lt;&gt;"APARTADO","",IF(NOT(ISNUMBER($C142)),"FALTA LA HORA",IF($C142&lt;1,"FALTA LA FECHA",TEXT($C142+1,"dd/mm hh:mm"))))</f>
        <v/>
      </c>
    </row>
    <row r="143">
      <c r="A143" s="13" t="inlineStr">
        <is>
          <t>141</t>
        </is>
      </c>
      <c r="B143" t="inlineStr">
        <is>
          <t>LIBRE</t>
        </is>
      </c>
      <c r="C143" s="14" t="n"/>
      <c r="E143" s="15">
        <f>IF($G143&lt;&gt;"PAGADO","",IFERROR(IF(VLOOKUP($A143,COMPRADORES!$A:$D,4,FALSE)="NO","Reservado",LEFT(VLOOKUP($A143,COMPRADORES!$A:$D,2,FALSE),3)&amp;"***"&amp;IF(TRIM(MID(VLOOKUP($A143,COMPRADORES!$A:$D,2,FALSE)&amp;" ",FIND(" ",VLOOKUP($A143,COMPRADORES!$A:$D,2,FALSE)&amp;" ")+1,99))="",""," "&amp;LEFT(TRIM(MID(VLOOKUP($A143,COMPRADORES!$A:$D,2,FALSE)&amp;" ",FIND(" ",VLOOKUP($A143,COMPRADORES!$A:$D,2,FALSE)&amp;" ")+1,99)),1)&amp;".")),""))</f>
        <v/>
      </c>
      <c r="F143" s="16">
        <f>IF($B143="PAGADO",MID("ABCDEFGHIJ",INT(VALUE($A143)/100)+1,1)&amp;"-"&amp;$A143,"")</f>
        <v/>
      </c>
      <c r="G143" s="16">
        <f>IF($B143="PAGADO","PAGADO",IF($B143="APARTADO",IF(NOT(ISNUMBER($C143)),"APARTADO",IF($C143&lt;1,"APARTADO",IF(NOW()-$C143&gt;1,"LIBRE","APARTADO"))),"LIBRE"))</f>
        <v/>
      </c>
      <c r="H143" s="15">
        <f>IF($G143&lt;&gt;"APARTADO","",IF(NOT(ISNUMBER($C143)),"FALTA LA HORA",IF($C143&lt;1,"FALTA LA FECHA",TEXT($C143+1,"dd/mm hh:mm"))))</f>
        <v/>
      </c>
    </row>
    <row r="144">
      <c r="A144" s="13" t="inlineStr">
        <is>
          <t>142</t>
        </is>
      </c>
      <c r="B144" t="inlineStr">
        <is>
          <t>LIBRE</t>
        </is>
      </c>
      <c r="C144" s="14" t="n"/>
      <c r="E144" s="15">
        <f>IF($G144&lt;&gt;"PAGADO","",IFERROR(IF(VLOOKUP($A144,COMPRADORES!$A:$D,4,FALSE)="NO","Reservado",LEFT(VLOOKUP($A144,COMPRADORES!$A:$D,2,FALSE),3)&amp;"***"&amp;IF(TRIM(MID(VLOOKUP($A144,COMPRADORES!$A:$D,2,FALSE)&amp;" ",FIND(" ",VLOOKUP($A144,COMPRADORES!$A:$D,2,FALSE)&amp;" ")+1,99))="",""," "&amp;LEFT(TRIM(MID(VLOOKUP($A144,COMPRADORES!$A:$D,2,FALSE)&amp;" ",FIND(" ",VLOOKUP($A144,COMPRADORES!$A:$D,2,FALSE)&amp;" ")+1,99)),1)&amp;".")),""))</f>
        <v/>
      </c>
      <c r="F144" s="16">
        <f>IF($B144="PAGADO",MID("ABCDEFGHIJ",INT(VALUE($A144)/100)+1,1)&amp;"-"&amp;$A144,"")</f>
        <v/>
      </c>
      <c r="G144" s="16">
        <f>IF($B144="PAGADO","PAGADO",IF($B144="APARTADO",IF(NOT(ISNUMBER($C144)),"APARTADO",IF($C144&lt;1,"APARTADO",IF(NOW()-$C144&gt;1,"LIBRE","APARTADO"))),"LIBRE"))</f>
        <v/>
      </c>
      <c r="H144" s="15">
        <f>IF($G144&lt;&gt;"APARTADO","",IF(NOT(ISNUMBER($C144)),"FALTA LA HORA",IF($C144&lt;1,"FALTA LA FECHA",TEXT($C144+1,"dd/mm hh:mm"))))</f>
        <v/>
      </c>
    </row>
    <row r="145">
      <c r="A145" s="13" t="inlineStr">
        <is>
          <t>143</t>
        </is>
      </c>
      <c r="B145" t="inlineStr">
        <is>
          <t>LIBRE</t>
        </is>
      </c>
      <c r="C145" s="14" t="n"/>
      <c r="E145" s="15">
        <f>IF($G145&lt;&gt;"PAGADO","",IFERROR(IF(VLOOKUP($A145,COMPRADORES!$A:$D,4,FALSE)="NO","Reservado",LEFT(VLOOKUP($A145,COMPRADORES!$A:$D,2,FALSE),3)&amp;"***"&amp;IF(TRIM(MID(VLOOKUP($A145,COMPRADORES!$A:$D,2,FALSE)&amp;" ",FIND(" ",VLOOKUP($A145,COMPRADORES!$A:$D,2,FALSE)&amp;" ")+1,99))="",""," "&amp;LEFT(TRIM(MID(VLOOKUP($A145,COMPRADORES!$A:$D,2,FALSE)&amp;" ",FIND(" ",VLOOKUP($A145,COMPRADORES!$A:$D,2,FALSE)&amp;" ")+1,99)),1)&amp;".")),""))</f>
        <v/>
      </c>
      <c r="F145" s="16">
        <f>IF($B145="PAGADO",MID("ABCDEFGHIJ",INT(VALUE($A145)/100)+1,1)&amp;"-"&amp;$A145,"")</f>
        <v/>
      </c>
      <c r="G145" s="16">
        <f>IF($B145="PAGADO","PAGADO",IF($B145="APARTADO",IF(NOT(ISNUMBER($C145)),"APARTADO",IF($C145&lt;1,"APARTADO",IF(NOW()-$C145&gt;1,"LIBRE","APARTADO"))),"LIBRE"))</f>
        <v/>
      </c>
      <c r="H145" s="15">
        <f>IF($G145&lt;&gt;"APARTADO","",IF(NOT(ISNUMBER($C145)),"FALTA LA HORA",IF($C145&lt;1,"FALTA LA FECHA",TEXT($C145+1,"dd/mm hh:mm"))))</f>
        <v/>
      </c>
    </row>
    <row r="146">
      <c r="A146" s="13" t="inlineStr">
        <is>
          <t>144</t>
        </is>
      </c>
      <c r="B146" t="inlineStr">
        <is>
          <t>LIBRE</t>
        </is>
      </c>
      <c r="C146" s="14" t="n"/>
      <c r="E146" s="15">
        <f>IF($G146&lt;&gt;"PAGADO","",IFERROR(IF(VLOOKUP($A146,COMPRADORES!$A:$D,4,FALSE)="NO","Reservado",LEFT(VLOOKUP($A146,COMPRADORES!$A:$D,2,FALSE),3)&amp;"***"&amp;IF(TRIM(MID(VLOOKUP($A146,COMPRADORES!$A:$D,2,FALSE)&amp;" ",FIND(" ",VLOOKUP($A146,COMPRADORES!$A:$D,2,FALSE)&amp;" ")+1,99))="",""," "&amp;LEFT(TRIM(MID(VLOOKUP($A146,COMPRADORES!$A:$D,2,FALSE)&amp;" ",FIND(" ",VLOOKUP($A146,COMPRADORES!$A:$D,2,FALSE)&amp;" ")+1,99)),1)&amp;".")),""))</f>
        <v/>
      </c>
      <c r="F146" s="16">
        <f>IF($B146="PAGADO",MID("ABCDEFGHIJ",INT(VALUE($A146)/100)+1,1)&amp;"-"&amp;$A146,"")</f>
        <v/>
      </c>
      <c r="G146" s="16">
        <f>IF($B146="PAGADO","PAGADO",IF($B146="APARTADO",IF(NOT(ISNUMBER($C146)),"APARTADO",IF($C146&lt;1,"APARTADO",IF(NOW()-$C146&gt;1,"LIBRE","APARTADO"))),"LIBRE"))</f>
        <v/>
      </c>
      <c r="H146" s="15">
        <f>IF($G146&lt;&gt;"APARTADO","",IF(NOT(ISNUMBER($C146)),"FALTA LA HORA",IF($C146&lt;1,"FALTA LA FECHA",TEXT($C146+1,"dd/mm hh:mm"))))</f>
        <v/>
      </c>
    </row>
    <row r="147">
      <c r="A147" s="13" t="inlineStr">
        <is>
          <t>145</t>
        </is>
      </c>
      <c r="B147" t="inlineStr">
        <is>
          <t>LIBRE</t>
        </is>
      </c>
      <c r="C147" s="14" t="n"/>
      <c r="E147" s="15">
        <f>IF($G147&lt;&gt;"PAGADO","",IFERROR(IF(VLOOKUP($A147,COMPRADORES!$A:$D,4,FALSE)="NO","Reservado",LEFT(VLOOKUP($A147,COMPRADORES!$A:$D,2,FALSE),3)&amp;"***"&amp;IF(TRIM(MID(VLOOKUP($A147,COMPRADORES!$A:$D,2,FALSE)&amp;" ",FIND(" ",VLOOKUP($A147,COMPRADORES!$A:$D,2,FALSE)&amp;" ")+1,99))="",""," "&amp;LEFT(TRIM(MID(VLOOKUP($A147,COMPRADORES!$A:$D,2,FALSE)&amp;" ",FIND(" ",VLOOKUP($A147,COMPRADORES!$A:$D,2,FALSE)&amp;" ")+1,99)),1)&amp;".")),""))</f>
        <v/>
      </c>
      <c r="F147" s="16">
        <f>IF($B147="PAGADO",MID("ABCDEFGHIJ",INT(VALUE($A147)/100)+1,1)&amp;"-"&amp;$A147,"")</f>
        <v/>
      </c>
      <c r="G147" s="16">
        <f>IF($B147="PAGADO","PAGADO",IF($B147="APARTADO",IF(NOT(ISNUMBER($C147)),"APARTADO",IF($C147&lt;1,"APARTADO",IF(NOW()-$C147&gt;1,"LIBRE","APARTADO"))),"LIBRE"))</f>
        <v/>
      </c>
      <c r="H147" s="15">
        <f>IF($G147&lt;&gt;"APARTADO","",IF(NOT(ISNUMBER($C147)),"FALTA LA HORA",IF($C147&lt;1,"FALTA LA FECHA",TEXT($C147+1,"dd/mm hh:mm"))))</f>
        <v/>
      </c>
    </row>
    <row r="148">
      <c r="A148" s="13" t="inlineStr">
        <is>
          <t>146</t>
        </is>
      </c>
      <c r="B148" t="inlineStr">
        <is>
          <t>LIBRE</t>
        </is>
      </c>
      <c r="C148" s="14" t="n"/>
      <c r="E148" s="15">
        <f>IF($G148&lt;&gt;"PAGADO","",IFERROR(IF(VLOOKUP($A148,COMPRADORES!$A:$D,4,FALSE)="NO","Reservado",LEFT(VLOOKUP($A148,COMPRADORES!$A:$D,2,FALSE),3)&amp;"***"&amp;IF(TRIM(MID(VLOOKUP($A148,COMPRADORES!$A:$D,2,FALSE)&amp;" ",FIND(" ",VLOOKUP($A148,COMPRADORES!$A:$D,2,FALSE)&amp;" ")+1,99))="",""," "&amp;LEFT(TRIM(MID(VLOOKUP($A148,COMPRADORES!$A:$D,2,FALSE)&amp;" ",FIND(" ",VLOOKUP($A148,COMPRADORES!$A:$D,2,FALSE)&amp;" ")+1,99)),1)&amp;".")),""))</f>
        <v/>
      </c>
      <c r="F148" s="16">
        <f>IF($B148="PAGADO",MID("ABCDEFGHIJ",INT(VALUE($A148)/100)+1,1)&amp;"-"&amp;$A148,"")</f>
        <v/>
      </c>
      <c r="G148" s="16">
        <f>IF($B148="PAGADO","PAGADO",IF($B148="APARTADO",IF(NOT(ISNUMBER($C148)),"APARTADO",IF($C148&lt;1,"APARTADO",IF(NOW()-$C148&gt;1,"LIBRE","APARTADO"))),"LIBRE"))</f>
        <v/>
      </c>
      <c r="H148" s="15">
        <f>IF($G148&lt;&gt;"APARTADO","",IF(NOT(ISNUMBER($C148)),"FALTA LA HORA",IF($C148&lt;1,"FALTA LA FECHA",TEXT($C148+1,"dd/mm hh:mm"))))</f>
        <v/>
      </c>
    </row>
    <row r="149">
      <c r="A149" s="13" t="inlineStr">
        <is>
          <t>147</t>
        </is>
      </c>
      <c r="B149" t="inlineStr">
        <is>
          <t>LIBRE</t>
        </is>
      </c>
      <c r="C149" s="14" t="n"/>
      <c r="E149" s="15">
        <f>IF($G149&lt;&gt;"PAGADO","",IFERROR(IF(VLOOKUP($A149,COMPRADORES!$A:$D,4,FALSE)="NO","Reservado",LEFT(VLOOKUP($A149,COMPRADORES!$A:$D,2,FALSE),3)&amp;"***"&amp;IF(TRIM(MID(VLOOKUP($A149,COMPRADORES!$A:$D,2,FALSE)&amp;" ",FIND(" ",VLOOKUP($A149,COMPRADORES!$A:$D,2,FALSE)&amp;" ")+1,99))="",""," "&amp;LEFT(TRIM(MID(VLOOKUP($A149,COMPRADORES!$A:$D,2,FALSE)&amp;" ",FIND(" ",VLOOKUP($A149,COMPRADORES!$A:$D,2,FALSE)&amp;" ")+1,99)),1)&amp;".")),""))</f>
        <v/>
      </c>
      <c r="F149" s="16">
        <f>IF($B149="PAGADO",MID("ABCDEFGHIJ",INT(VALUE($A149)/100)+1,1)&amp;"-"&amp;$A149,"")</f>
        <v/>
      </c>
      <c r="G149" s="16">
        <f>IF($B149="PAGADO","PAGADO",IF($B149="APARTADO",IF(NOT(ISNUMBER($C149)),"APARTADO",IF($C149&lt;1,"APARTADO",IF(NOW()-$C149&gt;1,"LIBRE","APARTADO"))),"LIBRE"))</f>
        <v/>
      </c>
      <c r="H149" s="15">
        <f>IF($G149&lt;&gt;"APARTADO","",IF(NOT(ISNUMBER($C149)),"FALTA LA HORA",IF($C149&lt;1,"FALTA LA FECHA",TEXT($C149+1,"dd/mm hh:mm"))))</f>
        <v/>
      </c>
    </row>
    <row r="150">
      <c r="A150" s="13" t="inlineStr">
        <is>
          <t>148</t>
        </is>
      </c>
      <c r="B150" t="inlineStr">
        <is>
          <t>LIBRE</t>
        </is>
      </c>
      <c r="C150" s="14" t="n"/>
      <c r="E150" s="15">
        <f>IF($G150&lt;&gt;"PAGADO","",IFERROR(IF(VLOOKUP($A150,COMPRADORES!$A:$D,4,FALSE)="NO","Reservado",LEFT(VLOOKUP($A150,COMPRADORES!$A:$D,2,FALSE),3)&amp;"***"&amp;IF(TRIM(MID(VLOOKUP($A150,COMPRADORES!$A:$D,2,FALSE)&amp;" ",FIND(" ",VLOOKUP($A150,COMPRADORES!$A:$D,2,FALSE)&amp;" ")+1,99))="",""," "&amp;LEFT(TRIM(MID(VLOOKUP($A150,COMPRADORES!$A:$D,2,FALSE)&amp;" ",FIND(" ",VLOOKUP($A150,COMPRADORES!$A:$D,2,FALSE)&amp;" ")+1,99)),1)&amp;".")),""))</f>
        <v/>
      </c>
      <c r="F150" s="16">
        <f>IF($B150="PAGADO",MID("ABCDEFGHIJ",INT(VALUE($A150)/100)+1,1)&amp;"-"&amp;$A150,"")</f>
        <v/>
      </c>
      <c r="G150" s="16">
        <f>IF($B150="PAGADO","PAGADO",IF($B150="APARTADO",IF(NOT(ISNUMBER($C150)),"APARTADO",IF($C150&lt;1,"APARTADO",IF(NOW()-$C150&gt;1,"LIBRE","APARTADO"))),"LIBRE"))</f>
        <v/>
      </c>
      <c r="H150" s="15">
        <f>IF($G150&lt;&gt;"APARTADO","",IF(NOT(ISNUMBER($C150)),"FALTA LA HORA",IF($C150&lt;1,"FALTA LA FECHA",TEXT($C150+1,"dd/mm hh:mm"))))</f>
        <v/>
      </c>
    </row>
    <row r="151">
      <c r="A151" s="13" t="inlineStr">
        <is>
          <t>149</t>
        </is>
      </c>
      <c r="B151" t="inlineStr">
        <is>
          <t>LIBRE</t>
        </is>
      </c>
      <c r="C151" s="14" t="n"/>
      <c r="E151" s="15">
        <f>IF($G151&lt;&gt;"PAGADO","",IFERROR(IF(VLOOKUP($A151,COMPRADORES!$A:$D,4,FALSE)="NO","Reservado",LEFT(VLOOKUP($A151,COMPRADORES!$A:$D,2,FALSE),3)&amp;"***"&amp;IF(TRIM(MID(VLOOKUP($A151,COMPRADORES!$A:$D,2,FALSE)&amp;" ",FIND(" ",VLOOKUP($A151,COMPRADORES!$A:$D,2,FALSE)&amp;" ")+1,99))="",""," "&amp;LEFT(TRIM(MID(VLOOKUP($A151,COMPRADORES!$A:$D,2,FALSE)&amp;" ",FIND(" ",VLOOKUP($A151,COMPRADORES!$A:$D,2,FALSE)&amp;" ")+1,99)),1)&amp;".")),""))</f>
        <v/>
      </c>
      <c r="F151" s="16">
        <f>IF($B151="PAGADO",MID("ABCDEFGHIJ",INT(VALUE($A151)/100)+1,1)&amp;"-"&amp;$A151,"")</f>
        <v/>
      </c>
      <c r="G151" s="16">
        <f>IF($B151="PAGADO","PAGADO",IF($B151="APARTADO",IF(NOT(ISNUMBER($C151)),"APARTADO",IF($C151&lt;1,"APARTADO",IF(NOW()-$C151&gt;1,"LIBRE","APARTADO"))),"LIBRE"))</f>
        <v/>
      </c>
      <c r="H151" s="15">
        <f>IF($G151&lt;&gt;"APARTADO","",IF(NOT(ISNUMBER($C151)),"FALTA LA HORA",IF($C151&lt;1,"FALTA LA FECHA",TEXT($C151+1,"dd/mm hh:mm"))))</f>
        <v/>
      </c>
    </row>
    <row r="152">
      <c r="A152" s="13" t="inlineStr">
        <is>
          <t>150</t>
        </is>
      </c>
      <c r="B152" t="inlineStr">
        <is>
          <t>LIBRE</t>
        </is>
      </c>
      <c r="C152" s="14" t="n"/>
      <c r="E152" s="15">
        <f>IF($G152&lt;&gt;"PAGADO","",IFERROR(IF(VLOOKUP($A152,COMPRADORES!$A:$D,4,FALSE)="NO","Reservado",LEFT(VLOOKUP($A152,COMPRADORES!$A:$D,2,FALSE),3)&amp;"***"&amp;IF(TRIM(MID(VLOOKUP($A152,COMPRADORES!$A:$D,2,FALSE)&amp;" ",FIND(" ",VLOOKUP($A152,COMPRADORES!$A:$D,2,FALSE)&amp;" ")+1,99))="",""," "&amp;LEFT(TRIM(MID(VLOOKUP($A152,COMPRADORES!$A:$D,2,FALSE)&amp;" ",FIND(" ",VLOOKUP($A152,COMPRADORES!$A:$D,2,FALSE)&amp;" ")+1,99)),1)&amp;".")),""))</f>
        <v/>
      </c>
      <c r="F152" s="16">
        <f>IF($B152="PAGADO",MID("ABCDEFGHIJ",INT(VALUE($A152)/100)+1,1)&amp;"-"&amp;$A152,"")</f>
        <v/>
      </c>
      <c r="G152" s="16">
        <f>IF($B152="PAGADO","PAGADO",IF($B152="APARTADO",IF(NOT(ISNUMBER($C152)),"APARTADO",IF($C152&lt;1,"APARTADO",IF(NOW()-$C152&gt;1,"LIBRE","APARTADO"))),"LIBRE"))</f>
        <v/>
      </c>
      <c r="H152" s="15">
        <f>IF($G152&lt;&gt;"APARTADO","",IF(NOT(ISNUMBER($C152)),"FALTA LA HORA",IF($C152&lt;1,"FALTA LA FECHA",TEXT($C152+1,"dd/mm hh:mm"))))</f>
        <v/>
      </c>
    </row>
    <row r="153">
      <c r="A153" s="13" t="inlineStr">
        <is>
          <t>151</t>
        </is>
      </c>
      <c r="B153" t="inlineStr">
        <is>
          <t>LIBRE</t>
        </is>
      </c>
      <c r="C153" s="14" t="n"/>
      <c r="E153" s="15">
        <f>IF($G153&lt;&gt;"PAGADO","",IFERROR(IF(VLOOKUP($A153,COMPRADORES!$A:$D,4,FALSE)="NO","Reservado",LEFT(VLOOKUP($A153,COMPRADORES!$A:$D,2,FALSE),3)&amp;"***"&amp;IF(TRIM(MID(VLOOKUP($A153,COMPRADORES!$A:$D,2,FALSE)&amp;" ",FIND(" ",VLOOKUP($A153,COMPRADORES!$A:$D,2,FALSE)&amp;" ")+1,99))="",""," "&amp;LEFT(TRIM(MID(VLOOKUP($A153,COMPRADORES!$A:$D,2,FALSE)&amp;" ",FIND(" ",VLOOKUP($A153,COMPRADORES!$A:$D,2,FALSE)&amp;" ")+1,99)),1)&amp;".")),""))</f>
        <v/>
      </c>
      <c r="F153" s="16">
        <f>IF($B153="PAGADO",MID("ABCDEFGHIJ",INT(VALUE($A153)/100)+1,1)&amp;"-"&amp;$A153,"")</f>
        <v/>
      </c>
      <c r="G153" s="16">
        <f>IF($B153="PAGADO","PAGADO",IF($B153="APARTADO",IF(NOT(ISNUMBER($C153)),"APARTADO",IF($C153&lt;1,"APARTADO",IF(NOW()-$C153&gt;1,"LIBRE","APARTADO"))),"LIBRE"))</f>
        <v/>
      </c>
      <c r="H153" s="15">
        <f>IF($G153&lt;&gt;"APARTADO","",IF(NOT(ISNUMBER($C153)),"FALTA LA HORA",IF($C153&lt;1,"FALTA LA FECHA",TEXT($C153+1,"dd/mm hh:mm"))))</f>
        <v/>
      </c>
    </row>
    <row r="154">
      <c r="A154" s="13" t="inlineStr">
        <is>
          <t>152</t>
        </is>
      </c>
      <c r="B154" t="inlineStr">
        <is>
          <t>LIBRE</t>
        </is>
      </c>
      <c r="C154" s="14" t="n"/>
      <c r="E154" s="15">
        <f>IF($G154&lt;&gt;"PAGADO","",IFERROR(IF(VLOOKUP($A154,COMPRADORES!$A:$D,4,FALSE)="NO","Reservado",LEFT(VLOOKUP($A154,COMPRADORES!$A:$D,2,FALSE),3)&amp;"***"&amp;IF(TRIM(MID(VLOOKUP($A154,COMPRADORES!$A:$D,2,FALSE)&amp;" ",FIND(" ",VLOOKUP($A154,COMPRADORES!$A:$D,2,FALSE)&amp;" ")+1,99))="",""," "&amp;LEFT(TRIM(MID(VLOOKUP($A154,COMPRADORES!$A:$D,2,FALSE)&amp;" ",FIND(" ",VLOOKUP($A154,COMPRADORES!$A:$D,2,FALSE)&amp;" ")+1,99)),1)&amp;".")),""))</f>
        <v/>
      </c>
      <c r="F154" s="16">
        <f>IF($B154="PAGADO",MID("ABCDEFGHIJ",INT(VALUE($A154)/100)+1,1)&amp;"-"&amp;$A154,"")</f>
        <v/>
      </c>
      <c r="G154" s="16">
        <f>IF($B154="PAGADO","PAGADO",IF($B154="APARTADO",IF(NOT(ISNUMBER($C154)),"APARTADO",IF($C154&lt;1,"APARTADO",IF(NOW()-$C154&gt;1,"LIBRE","APARTADO"))),"LIBRE"))</f>
        <v/>
      </c>
      <c r="H154" s="15">
        <f>IF($G154&lt;&gt;"APARTADO","",IF(NOT(ISNUMBER($C154)),"FALTA LA HORA",IF($C154&lt;1,"FALTA LA FECHA",TEXT($C154+1,"dd/mm hh:mm"))))</f>
        <v/>
      </c>
    </row>
    <row r="155">
      <c r="A155" s="13" t="inlineStr">
        <is>
          <t>153</t>
        </is>
      </c>
      <c r="B155" t="inlineStr">
        <is>
          <t>LIBRE</t>
        </is>
      </c>
      <c r="C155" s="14" t="n"/>
      <c r="E155" s="15">
        <f>IF($G155&lt;&gt;"PAGADO","",IFERROR(IF(VLOOKUP($A155,COMPRADORES!$A:$D,4,FALSE)="NO","Reservado",LEFT(VLOOKUP($A155,COMPRADORES!$A:$D,2,FALSE),3)&amp;"***"&amp;IF(TRIM(MID(VLOOKUP($A155,COMPRADORES!$A:$D,2,FALSE)&amp;" ",FIND(" ",VLOOKUP($A155,COMPRADORES!$A:$D,2,FALSE)&amp;" ")+1,99))="",""," "&amp;LEFT(TRIM(MID(VLOOKUP($A155,COMPRADORES!$A:$D,2,FALSE)&amp;" ",FIND(" ",VLOOKUP($A155,COMPRADORES!$A:$D,2,FALSE)&amp;" ")+1,99)),1)&amp;".")),""))</f>
        <v/>
      </c>
      <c r="F155" s="16">
        <f>IF($B155="PAGADO",MID("ABCDEFGHIJ",INT(VALUE($A155)/100)+1,1)&amp;"-"&amp;$A155,"")</f>
        <v/>
      </c>
      <c r="G155" s="16">
        <f>IF($B155="PAGADO","PAGADO",IF($B155="APARTADO",IF(NOT(ISNUMBER($C155)),"APARTADO",IF($C155&lt;1,"APARTADO",IF(NOW()-$C155&gt;1,"LIBRE","APARTADO"))),"LIBRE"))</f>
        <v/>
      </c>
      <c r="H155" s="15">
        <f>IF($G155&lt;&gt;"APARTADO","",IF(NOT(ISNUMBER($C155)),"FALTA LA HORA",IF($C155&lt;1,"FALTA LA FECHA",TEXT($C155+1,"dd/mm hh:mm"))))</f>
        <v/>
      </c>
    </row>
    <row r="156">
      <c r="A156" s="13" t="inlineStr">
        <is>
          <t>154</t>
        </is>
      </c>
      <c r="B156" t="inlineStr">
        <is>
          <t>LIBRE</t>
        </is>
      </c>
      <c r="C156" s="14" t="n"/>
      <c r="E156" s="15">
        <f>IF($G156&lt;&gt;"PAGADO","",IFERROR(IF(VLOOKUP($A156,COMPRADORES!$A:$D,4,FALSE)="NO","Reservado",LEFT(VLOOKUP($A156,COMPRADORES!$A:$D,2,FALSE),3)&amp;"***"&amp;IF(TRIM(MID(VLOOKUP($A156,COMPRADORES!$A:$D,2,FALSE)&amp;" ",FIND(" ",VLOOKUP($A156,COMPRADORES!$A:$D,2,FALSE)&amp;" ")+1,99))="",""," "&amp;LEFT(TRIM(MID(VLOOKUP($A156,COMPRADORES!$A:$D,2,FALSE)&amp;" ",FIND(" ",VLOOKUP($A156,COMPRADORES!$A:$D,2,FALSE)&amp;" ")+1,99)),1)&amp;".")),""))</f>
        <v/>
      </c>
      <c r="F156" s="16">
        <f>IF($B156="PAGADO",MID("ABCDEFGHIJ",INT(VALUE($A156)/100)+1,1)&amp;"-"&amp;$A156,"")</f>
        <v/>
      </c>
      <c r="G156" s="16">
        <f>IF($B156="PAGADO","PAGADO",IF($B156="APARTADO",IF(NOT(ISNUMBER($C156)),"APARTADO",IF($C156&lt;1,"APARTADO",IF(NOW()-$C156&gt;1,"LIBRE","APARTADO"))),"LIBRE"))</f>
        <v/>
      </c>
      <c r="H156" s="15">
        <f>IF($G156&lt;&gt;"APARTADO","",IF(NOT(ISNUMBER($C156)),"FALTA LA HORA",IF($C156&lt;1,"FALTA LA FECHA",TEXT($C156+1,"dd/mm hh:mm"))))</f>
        <v/>
      </c>
    </row>
    <row r="157">
      <c r="A157" s="13" t="inlineStr">
        <is>
          <t>155</t>
        </is>
      </c>
      <c r="B157" t="inlineStr">
        <is>
          <t>LIBRE</t>
        </is>
      </c>
      <c r="C157" s="14" t="n"/>
      <c r="E157" s="15">
        <f>IF($G157&lt;&gt;"PAGADO","",IFERROR(IF(VLOOKUP($A157,COMPRADORES!$A:$D,4,FALSE)="NO","Reservado",LEFT(VLOOKUP($A157,COMPRADORES!$A:$D,2,FALSE),3)&amp;"***"&amp;IF(TRIM(MID(VLOOKUP($A157,COMPRADORES!$A:$D,2,FALSE)&amp;" ",FIND(" ",VLOOKUP($A157,COMPRADORES!$A:$D,2,FALSE)&amp;" ")+1,99))="",""," "&amp;LEFT(TRIM(MID(VLOOKUP($A157,COMPRADORES!$A:$D,2,FALSE)&amp;" ",FIND(" ",VLOOKUP($A157,COMPRADORES!$A:$D,2,FALSE)&amp;" ")+1,99)),1)&amp;".")),""))</f>
        <v/>
      </c>
      <c r="F157" s="16">
        <f>IF($B157="PAGADO",MID("ABCDEFGHIJ",INT(VALUE($A157)/100)+1,1)&amp;"-"&amp;$A157,"")</f>
        <v/>
      </c>
      <c r="G157" s="16">
        <f>IF($B157="PAGADO","PAGADO",IF($B157="APARTADO",IF(NOT(ISNUMBER($C157)),"APARTADO",IF($C157&lt;1,"APARTADO",IF(NOW()-$C157&gt;1,"LIBRE","APARTADO"))),"LIBRE"))</f>
        <v/>
      </c>
      <c r="H157" s="15">
        <f>IF($G157&lt;&gt;"APARTADO","",IF(NOT(ISNUMBER($C157)),"FALTA LA HORA",IF($C157&lt;1,"FALTA LA FECHA",TEXT($C157+1,"dd/mm hh:mm"))))</f>
        <v/>
      </c>
    </row>
    <row r="158">
      <c r="A158" s="13" t="inlineStr">
        <is>
          <t>156</t>
        </is>
      </c>
      <c r="B158" t="inlineStr">
        <is>
          <t>LIBRE</t>
        </is>
      </c>
      <c r="C158" s="14" t="n"/>
      <c r="E158" s="15">
        <f>IF($G158&lt;&gt;"PAGADO","",IFERROR(IF(VLOOKUP($A158,COMPRADORES!$A:$D,4,FALSE)="NO","Reservado",LEFT(VLOOKUP($A158,COMPRADORES!$A:$D,2,FALSE),3)&amp;"***"&amp;IF(TRIM(MID(VLOOKUP($A158,COMPRADORES!$A:$D,2,FALSE)&amp;" ",FIND(" ",VLOOKUP($A158,COMPRADORES!$A:$D,2,FALSE)&amp;" ")+1,99))="",""," "&amp;LEFT(TRIM(MID(VLOOKUP($A158,COMPRADORES!$A:$D,2,FALSE)&amp;" ",FIND(" ",VLOOKUP($A158,COMPRADORES!$A:$D,2,FALSE)&amp;" ")+1,99)),1)&amp;".")),""))</f>
        <v/>
      </c>
      <c r="F158" s="16">
        <f>IF($B158="PAGADO",MID("ABCDEFGHIJ",INT(VALUE($A158)/100)+1,1)&amp;"-"&amp;$A158,"")</f>
        <v/>
      </c>
      <c r="G158" s="16">
        <f>IF($B158="PAGADO","PAGADO",IF($B158="APARTADO",IF(NOT(ISNUMBER($C158)),"APARTADO",IF($C158&lt;1,"APARTADO",IF(NOW()-$C158&gt;1,"LIBRE","APARTADO"))),"LIBRE"))</f>
        <v/>
      </c>
      <c r="H158" s="15">
        <f>IF($G158&lt;&gt;"APARTADO","",IF(NOT(ISNUMBER($C158)),"FALTA LA HORA",IF($C158&lt;1,"FALTA LA FECHA",TEXT($C158+1,"dd/mm hh:mm"))))</f>
        <v/>
      </c>
    </row>
    <row r="159">
      <c r="A159" s="13" t="inlineStr">
        <is>
          <t>157</t>
        </is>
      </c>
      <c r="B159" t="inlineStr">
        <is>
          <t>LIBRE</t>
        </is>
      </c>
      <c r="C159" s="14" t="n"/>
      <c r="E159" s="15">
        <f>IF($G159&lt;&gt;"PAGADO","",IFERROR(IF(VLOOKUP($A159,COMPRADORES!$A:$D,4,FALSE)="NO","Reservado",LEFT(VLOOKUP($A159,COMPRADORES!$A:$D,2,FALSE),3)&amp;"***"&amp;IF(TRIM(MID(VLOOKUP($A159,COMPRADORES!$A:$D,2,FALSE)&amp;" ",FIND(" ",VLOOKUP($A159,COMPRADORES!$A:$D,2,FALSE)&amp;" ")+1,99))="",""," "&amp;LEFT(TRIM(MID(VLOOKUP($A159,COMPRADORES!$A:$D,2,FALSE)&amp;" ",FIND(" ",VLOOKUP($A159,COMPRADORES!$A:$D,2,FALSE)&amp;" ")+1,99)),1)&amp;".")),""))</f>
        <v/>
      </c>
      <c r="F159" s="16">
        <f>IF($B159="PAGADO",MID("ABCDEFGHIJ",INT(VALUE($A159)/100)+1,1)&amp;"-"&amp;$A159,"")</f>
        <v/>
      </c>
      <c r="G159" s="16">
        <f>IF($B159="PAGADO","PAGADO",IF($B159="APARTADO",IF(NOT(ISNUMBER($C159)),"APARTADO",IF($C159&lt;1,"APARTADO",IF(NOW()-$C159&gt;1,"LIBRE","APARTADO"))),"LIBRE"))</f>
        <v/>
      </c>
      <c r="H159" s="15">
        <f>IF($G159&lt;&gt;"APARTADO","",IF(NOT(ISNUMBER($C159)),"FALTA LA HORA",IF($C159&lt;1,"FALTA LA FECHA",TEXT($C159+1,"dd/mm hh:mm"))))</f>
        <v/>
      </c>
    </row>
    <row r="160">
      <c r="A160" s="13" t="inlineStr">
        <is>
          <t>158</t>
        </is>
      </c>
      <c r="B160" t="inlineStr">
        <is>
          <t>LIBRE</t>
        </is>
      </c>
      <c r="C160" s="14" t="n"/>
      <c r="E160" s="15">
        <f>IF($G160&lt;&gt;"PAGADO","",IFERROR(IF(VLOOKUP($A160,COMPRADORES!$A:$D,4,FALSE)="NO","Reservado",LEFT(VLOOKUP($A160,COMPRADORES!$A:$D,2,FALSE),3)&amp;"***"&amp;IF(TRIM(MID(VLOOKUP($A160,COMPRADORES!$A:$D,2,FALSE)&amp;" ",FIND(" ",VLOOKUP($A160,COMPRADORES!$A:$D,2,FALSE)&amp;" ")+1,99))="",""," "&amp;LEFT(TRIM(MID(VLOOKUP($A160,COMPRADORES!$A:$D,2,FALSE)&amp;" ",FIND(" ",VLOOKUP($A160,COMPRADORES!$A:$D,2,FALSE)&amp;" ")+1,99)),1)&amp;".")),""))</f>
        <v/>
      </c>
      <c r="F160" s="16">
        <f>IF($B160="PAGADO",MID("ABCDEFGHIJ",INT(VALUE($A160)/100)+1,1)&amp;"-"&amp;$A160,"")</f>
        <v/>
      </c>
      <c r="G160" s="16">
        <f>IF($B160="PAGADO","PAGADO",IF($B160="APARTADO",IF(NOT(ISNUMBER($C160)),"APARTADO",IF($C160&lt;1,"APARTADO",IF(NOW()-$C160&gt;1,"LIBRE","APARTADO"))),"LIBRE"))</f>
        <v/>
      </c>
      <c r="H160" s="15">
        <f>IF($G160&lt;&gt;"APARTADO","",IF(NOT(ISNUMBER($C160)),"FALTA LA HORA",IF($C160&lt;1,"FALTA LA FECHA",TEXT($C160+1,"dd/mm hh:mm"))))</f>
        <v/>
      </c>
    </row>
    <row r="161">
      <c r="A161" s="13" t="inlineStr">
        <is>
          <t>159</t>
        </is>
      </c>
      <c r="B161" t="inlineStr">
        <is>
          <t>LIBRE</t>
        </is>
      </c>
      <c r="C161" s="14" t="n"/>
      <c r="E161" s="15">
        <f>IF($G161&lt;&gt;"PAGADO","",IFERROR(IF(VLOOKUP($A161,COMPRADORES!$A:$D,4,FALSE)="NO","Reservado",LEFT(VLOOKUP($A161,COMPRADORES!$A:$D,2,FALSE),3)&amp;"***"&amp;IF(TRIM(MID(VLOOKUP($A161,COMPRADORES!$A:$D,2,FALSE)&amp;" ",FIND(" ",VLOOKUP($A161,COMPRADORES!$A:$D,2,FALSE)&amp;" ")+1,99))="",""," "&amp;LEFT(TRIM(MID(VLOOKUP($A161,COMPRADORES!$A:$D,2,FALSE)&amp;" ",FIND(" ",VLOOKUP($A161,COMPRADORES!$A:$D,2,FALSE)&amp;" ")+1,99)),1)&amp;".")),""))</f>
        <v/>
      </c>
      <c r="F161" s="16">
        <f>IF($B161="PAGADO",MID("ABCDEFGHIJ",INT(VALUE($A161)/100)+1,1)&amp;"-"&amp;$A161,"")</f>
        <v/>
      </c>
      <c r="G161" s="16">
        <f>IF($B161="PAGADO","PAGADO",IF($B161="APARTADO",IF(NOT(ISNUMBER($C161)),"APARTADO",IF($C161&lt;1,"APARTADO",IF(NOW()-$C161&gt;1,"LIBRE","APARTADO"))),"LIBRE"))</f>
        <v/>
      </c>
      <c r="H161" s="15">
        <f>IF($G161&lt;&gt;"APARTADO","",IF(NOT(ISNUMBER($C161)),"FALTA LA HORA",IF($C161&lt;1,"FALTA LA FECHA",TEXT($C161+1,"dd/mm hh:mm"))))</f>
        <v/>
      </c>
    </row>
    <row r="162">
      <c r="A162" s="13" t="inlineStr">
        <is>
          <t>160</t>
        </is>
      </c>
      <c r="B162" t="inlineStr">
        <is>
          <t>LIBRE</t>
        </is>
      </c>
      <c r="C162" s="14" t="n"/>
      <c r="E162" s="15">
        <f>IF($G162&lt;&gt;"PAGADO","",IFERROR(IF(VLOOKUP($A162,COMPRADORES!$A:$D,4,FALSE)="NO","Reservado",LEFT(VLOOKUP($A162,COMPRADORES!$A:$D,2,FALSE),3)&amp;"***"&amp;IF(TRIM(MID(VLOOKUP($A162,COMPRADORES!$A:$D,2,FALSE)&amp;" ",FIND(" ",VLOOKUP($A162,COMPRADORES!$A:$D,2,FALSE)&amp;" ")+1,99))="",""," "&amp;LEFT(TRIM(MID(VLOOKUP($A162,COMPRADORES!$A:$D,2,FALSE)&amp;" ",FIND(" ",VLOOKUP($A162,COMPRADORES!$A:$D,2,FALSE)&amp;" ")+1,99)),1)&amp;".")),""))</f>
        <v/>
      </c>
      <c r="F162" s="16">
        <f>IF($B162="PAGADO",MID("ABCDEFGHIJ",INT(VALUE($A162)/100)+1,1)&amp;"-"&amp;$A162,"")</f>
        <v/>
      </c>
      <c r="G162" s="16">
        <f>IF($B162="PAGADO","PAGADO",IF($B162="APARTADO",IF(NOT(ISNUMBER($C162)),"APARTADO",IF($C162&lt;1,"APARTADO",IF(NOW()-$C162&gt;1,"LIBRE","APARTADO"))),"LIBRE"))</f>
        <v/>
      </c>
      <c r="H162" s="15">
        <f>IF($G162&lt;&gt;"APARTADO","",IF(NOT(ISNUMBER($C162)),"FALTA LA HORA",IF($C162&lt;1,"FALTA LA FECHA",TEXT($C162+1,"dd/mm hh:mm"))))</f>
        <v/>
      </c>
    </row>
    <row r="163">
      <c r="A163" s="13" t="inlineStr">
        <is>
          <t>161</t>
        </is>
      </c>
      <c r="B163" t="inlineStr">
        <is>
          <t>LIBRE</t>
        </is>
      </c>
      <c r="C163" s="14" t="n"/>
      <c r="E163" s="15">
        <f>IF($G163&lt;&gt;"PAGADO","",IFERROR(IF(VLOOKUP($A163,COMPRADORES!$A:$D,4,FALSE)="NO","Reservado",LEFT(VLOOKUP($A163,COMPRADORES!$A:$D,2,FALSE),3)&amp;"***"&amp;IF(TRIM(MID(VLOOKUP($A163,COMPRADORES!$A:$D,2,FALSE)&amp;" ",FIND(" ",VLOOKUP($A163,COMPRADORES!$A:$D,2,FALSE)&amp;" ")+1,99))="",""," "&amp;LEFT(TRIM(MID(VLOOKUP($A163,COMPRADORES!$A:$D,2,FALSE)&amp;" ",FIND(" ",VLOOKUP($A163,COMPRADORES!$A:$D,2,FALSE)&amp;" ")+1,99)),1)&amp;".")),""))</f>
        <v/>
      </c>
      <c r="F163" s="16">
        <f>IF($B163="PAGADO",MID("ABCDEFGHIJ",INT(VALUE($A163)/100)+1,1)&amp;"-"&amp;$A163,"")</f>
        <v/>
      </c>
      <c r="G163" s="16">
        <f>IF($B163="PAGADO","PAGADO",IF($B163="APARTADO",IF(NOT(ISNUMBER($C163)),"APARTADO",IF($C163&lt;1,"APARTADO",IF(NOW()-$C163&gt;1,"LIBRE","APARTADO"))),"LIBRE"))</f>
        <v/>
      </c>
      <c r="H163" s="15">
        <f>IF($G163&lt;&gt;"APARTADO","",IF(NOT(ISNUMBER($C163)),"FALTA LA HORA",IF($C163&lt;1,"FALTA LA FECHA",TEXT($C163+1,"dd/mm hh:mm"))))</f>
        <v/>
      </c>
    </row>
    <row r="164">
      <c r="A164" s="13" t="inlineStr">
        <is>
          <t>162</t>
        </is>
      </c>
      <c r="B164" t="inlineStr">
        <is>
          <t>LIBRE</t>
        </is>
      </c>
      <c r="C164" s="14" t="n"/>
      <c r="E164" s="15">
        <f>IF($G164&lt;&gt;"PAGADO","",IFERROR(IF(VLOOKUP($A164,COMPRADORES!$A:$D,4,FALSE)="NO","Reservado",LEFT(VLOOKUP($A164,COMPRADORES!$A:$D,2,FALSE),3)&amp;"***"&amp;IF(TRIM(MID(VLOOKUP($A164,COMPRADORES!$A:$D,2,FALSE)&amp;" ",FIND(" ",VLOOKUP($A164,COMPRADORES!$A:$D,2,FALSE)&amp;" ")+1,99))="",""," "&amp;LEFT(TRIM(MID(VLOOKUP($A164,COMPRADORES!$A:$D,2,FALSE)&amp;" ",FIND(" ",VLOOKUP($A164,COMPRADORES!$A:$D,2,FALSE)&amp;" ")+1,99)),1)&amp;".")),""))</f>
        <v/>
      </c>
      <c r="F164" s="16">
        <f>IF($B164="PAGADO",MID("ABCDEFGHIJ",INT(VALUE($A164)/100)+1,1)&amp;"-"&amp;$A164,"")</f>
        <v/>
      </c>
      <c r="G164" s="16">
        <f>IF($B164="PAGADO","PAGADO",IF($B164="APARTADO",IF(NOT(ISNUMBER($C164)),"APARTADO",IF($C164&lt;1,"APARTADO",IF(NOW()-$C164&gt;1,"LIBRE","APARTADO"))),"LIBRE"))</f>
        <v/>
      </c>
      <c r="H164" s="15">
        <f>IF($G164&lt;&gt;"APARTADO","",IF(NOT(ISNUMBER($C164)),"FALTA LA HORA",IF($C164&lt;1,"FALTA LA FECHA",TEXT($C164+1,"dd/mm hh:mm"))))</f>
        <v/>
      </c>
    </row>
    <row r="165">
      <c r="A165" s="13" t="inlineStr">
        <is>
          <t>163</t>
        </is>
      </c>
      <c r="B165" t="inlineStr">
        <is>
          <t>LIBRE</t>
        </is>
      </c>
      <c r="C165" s="14" t="n"/>
      <c r="E165" s="15">
        <f>IF($G165&lt;&gt;"PAGADO","",IFERROR(IF(VLOOKUP($A165,COMPRADORES!$A:$D,4,FALSE)="NO","Reservado",LEFT(VLOOKUP($A165,COMPRADORES!$A:$D,2,FALSE),3)&amp;"***"&amp;IF(TRIM(MID(VLOOKUP($A165,COMPRADORES!$A:$D,2,FALSE)&amp;" ",FIND(" ",VLOOKUP($A165,COMPRADORES!$A:$D,2,FALSE)&amp;" ")+1,99))="",""," "&amp;LEFT(TRIM(MID(VLOOKUP($A165,COMPRADORES!$A:$D,2,FALSE)&amp;" ",FIND(" ",VLOOKUP($A165,COMPRADORES!$A:$D,2,FALSE)&amp;" ")+1,99)),1)&amp;".")),""))</f>
        <v/>
      </c>
      <c r="F165" s="16">
        <f>IF($B165="PAGADO",MID("ABCDEFGHIJ",INT(VALUE($A165)/100)+1,1)&amp;"-"&amp;$A165,"")</f>
        <v/>
      </c>
      <c r="G165" s="16">
        <f>IF($B165="PAGADO","PAGADO",IF($B165="APARTADO",IF(NOT(ISNUMBER($C165)),"APARTADO",IF($C165&lt;1,"APARTADO",IF(NOW()-$C165&gt;1,"LIBRE","APARTADO"))),"LIBRE"))</f>
        <v/>
      </c>
      <c r="H165" s="15">
        <f>IF($G165&lt;&gt;"APARTADO","",IF(NOT(ISNUMBER($C165)),"FALTA LA HORA",IF($C165&lt;1,"FALTA LA FECHA",TEXT($C165+1,"dd/mm hh:mm"))))</f>
        <v/>
      </c>
    </row>
    <row r="166">
      <c r="A166" s="13" t="inlineStr">
        <is>
          <t>164</t>
        </is>
      </c>
      <c r="B166" t="inlineStr">
        <is>
          <t>LIBRE</t>
        </is>
      </c>
      <c r="C166" s="14" t="n"/>
      <c r="E166" s="15">
        <f>IF($G166&lt;&gt;"PAGADO","",IFERROR(IF(VLOOKUP($A166,COMPRADORES!$A:$D,4,FALSE)="NO","Reservado",LEFT(VLOOKUP($A166,COMPRADORES!$A:$D,2,FALSE),3)&amp;"***"&amp;IF(TRIM(MID(VLOOKUP($A166,COMPRADORES!$A:$D,2,FALSE)&amp;" ",FIND(" ",VLOOKUP($A166,COMPRADORES!$A:$D,2,FALSE)&amp;" ")+1,99))="",""," "&amp;LEFT(TRIM(MID(VLOOKUP($A166,COMPRADORES!$A:$D,2,FALSE)&amp;" ",FIND(" ",VLOOKUP($A166,COMPRADORES!$A:$D,2,FALSE)&amp;" ")+1,99)),1)&amp;".")),""))</f>
        <v/>
      </c>
      <c r="F166" s="16">
        <f>IF($B166="PAGADO",MID("ABCDEFGHIJ",INT(VALUE($A166)/100)+1,1)&amp;"-"&amp;$A166,"")</f>
        <v/>
      </c>
      <c r="G166" s="16">
        <f>IF($B166="PAGADO","PAGADO",IF($B166="APARTADO",IF(NOT(ISNUMBER($C166)),"APARTADO",IF($C166&lt;1,"APARTADO",IF(NOW()-$C166&gt;1,"LIBRE","APARTADO"))),"LIBRE"))</f>
        <v/>
      </c>
      <c r="H166" s="15">
        <f>IF($G166&lt;&gt;"APARTADO","",IF(NOT(ISNUMBER($C166)),"FALTA LA HORA",IF($C166&lt;1,"FALTA LA FECHA",TEXT($C166+1,"dd/mm hh:mm"))))</f>
        <v/>
      </c>
    </row>
    <row r="167">
      <c r="A167" s="13" t="inlineStr">
        <is>
          <t>165</t>
        </is>
      </c>
      <c r="B167" t="inlineStr">
        <is>
          <t>LIBRE</t>
        </is>
      </c>
      <c r="C167" s="14" t="n"/>
      <c r="E167" s="15">
        <f>IF($G167&lt;&gt;"PAGADO","",IFERROR(IF(VLOOKUP($A167,COMPRADORES!$A:$D,4,FALSE)="NO","Reservado",LEFT(VLOOKUP($A167,COMPRADORES!$A:$D,2,FALSE),3)&amp;"***"&amp;IF(TRIM(MID(VLOOKUP($A167,COMPRADORES!$A:$D,2,FALSE)&amp;" ",FIND(" ",VLOOKUP($A167,COMPRADORES!$A:$D,2,FALSE)&amp;" ")+1,99))="",""," "&amp;LEFT(TRIM(MID(VLOOKUP($A167,COMPRADORES!$A:$D,2,FALSE)&amp;" ",FIND(" ",VLOOKUP($A167,COMPRADORES!$A:$D,2,FALSE)&amp;" ")+1,99)),1)&amp;".")),""))</f>
        <v/>
      </c>
      <c r="F167" s="16">
        <f>IF($B167="PAGADO",MID("ABCDEFGHIJ",INT(VALUE($A167)/100)+1,1)&amp;"-"&amp;$A167,"")</f>
        <v/>
      </c>
      <c r="G167" s="16">
        <f>IF($B167="PAGADO","PAGADO",IF($B167="APARTADO",IF(NOT(ISNUMBER($C167)),"APARTADO",IF($C167&lt;1,"APARTADO",IF(NOW()-$C167&gt;1,"LIBRE","APARTADO"))),"LIBRE"))</f>
        <v/>
      </c>
      <c r="H167" s="15">
        <f>IF($G167&lt;&gt;"APARTADO","",IF(NOT(ISNUMBER($C167)),"FALTA LA HORA",IF($C167&lt;1,"FALTA LA FECHA",TEXT($C167+1,"dd/mm hh:mm"))))</f>
        <v/>
      </c>
    </row>
    <row r="168">
      <c r="A168" s="13" t="inlineStr">
        <is>
          <t>166</t>
        </is>
      </c>
      <c r="B168" t="inlineStr">
        <is>
          <t>LIBRE</t>
        </is>
      </c>
      <c r="C168" s="14" t="n"/>
      <c r="E168" s="15">
        <f>IF($G168&lt;&gt;"PAGADO","",IFERROR(IF(VLOOKUP($A168,COMPRADORES!$A:$D,4,FALSE)="NO","Reservado",LEFT(VLOOKUP($A168,COMPRADORES!$A:$D,2,FALSE),3)&amp;"***"&amp;IF(TRIM(MID(VLOOKUP($A168,COMPRADORES!$A:$D,2,FALSE)&amp;" ",FIND(" ",VLOOKUP($A168,COMPRADORES!$A:$D,2,FALSE)&amp;" ")+1,99))="",""," "&amp;LEFT(TRIM(MID(VLOOKUP($A168,COMPRADORES!$A:$D,2,FALSE)&amp;" ",FIND(" ",VLOOKUP($A168,COMPRADORES!$A:$D,2,FALSE)&amp;" ")+1,99)),1)&amp;".")),""))</f>
        <v/>
      </c>
      <c r="F168" s="16">
        <f>IF($B168="PAGADO",MID("ABCDEFGHIJ",INT(VALUE($A168)/100)+1,1)&amp;"-"&amp;$A168,"")</f>
        <v/>
      </c>
      <c r="G168" s="16">
        <f>IF($B168="PAGADO","PAGADO",IF($B168="APARTADO",IF(NOT(ISNUMBER($C168)),"APARTADO",IF($C168&lt;1,"APARTADO",IF(NOW()-$C168&gt;1,"LIBRE","APARTADO"))),"LIBRE"))</f>
        <v/>
      </c>
      <c r="H168" s="15">
        <f>IF($G168&lt;&gt;"APARTADO","",IF(NOT(ISNUMBER($C168)),"FALTA LA HORA",IF($C168&lt;1,"FALTA LA FECHA",TEXT($C168+1,"dd/mm hh:mm"))))</f>
        <v/>
      </c>
    </row>
    <row r="169">
      <c r="A169" s="13" t="inlineStr">
        <is>
          <t>167</t>
        </is>
      </c>
      <c r="B169" t="inlineStr">
        <is>
          <t>LIBRE</t>
        </is>
      </c>
      <c r="C169" s="14" t="n"/>
      <c r="E169" s="15">
        <f>IF($G169&lt;&gt;"PAGADO","",IFERROR(IF(VLOOKUP($A169,COMPRADORES!$A:$D,4,FALSE)="NO","Reservado",LEFT(VLOOKUP($A169,COMPRADORES!$A:$D,2,FALSE),3)&amp;"***"&amp;IF(TRIM(MID(VLOOKUP($A169,COMPRADORES!$A:$D,2,FALSE)&amp;" ",FIND(" ",VLOOKUP($A169,COMPRADORES!$A:$D,2,FALSE)&amp;" ")+1,99))="",""," "&amp;LEFT(TRIM(MID(VLOOKUP($A169,COMPRADORES!$A:$D,2,FALSE)&amp;" ",FIND(" ",VLOOKUP($A169,COMPRADORES!$A:$D,2,FALSE)&amp;" ")+1,99)),1)&amp;".")),""))</f>
        <v/>
      </c>
      <c r="F169" s="16">
        <f>IF($B169="PAGADO",MID("ABCDEFGHIJ",INT(VALUE($A169)/100)+1,1)&amp;"-"&amp;$A169,"")</f>
        <v/>
      </c>
      <c r="G169" s="16">
        <f>IF($B169="PAGADO","PAGADO",IF($B169="APARTADO",IF(NOT(ISNUMBER($C169)),"APARTADO",IF($C169&lt;1,"APARTADO",IF(NOW()-$C169&gt;1,"LIBRE","APARTADO"))),"LIBRE"))</f>
        <v/>
      </c>
      <c r="H169" s="15">
        <f>IF($G169&lt;&gt;"APARTADO","",IF(NOT(ISNUMBER($C169)),"FALTA LA HORA",IF($C169&lt;1,"FALTA LA FECHA",TEXT($C169+1,"dd/mm hh:mm"))))</f>
        <v/>
      </c>
    </row>
    <row r="170">
      <c r="A170" s="13" t="inlineStr">
        <is>
          <t>168</t>
        </is>
      </c>
      <c r="B170" t="inlineStr">
        <is>
          <t>LIBRE</t>
        </is>
      </c>
      <c r="C170" s="14" t="n"/>
      <c r="E170" s="15">
        <f>IF($G170&lt;&gt;"PAGADO","",IFERROR(IF(VLOOKUP($A170,COMPRADORES!$A:$D,4,FALSE)="NO","Reservado",LEFT(VLOOKUP($A170,COMPRADORES!$A:$D,2,FALSE),3)&amp;"***"&amp;IF(TRIM(MID(VLOOKUP($A170,COMPRADORES!$A:$D,2,FALSE)&amp;" ",FIND(" ",VLOOKUP($A170,COMPRADORES!$A:$D,2,FALSE)&amp;" ")+1,99))="",""," "&amp;LEFT(TRIM(MID(VLOOKUP($A170,COMPRADORES!$A:$D,2,FALSE)&amp;" ",FIND(" ",VLOOKUP($A170,COMPRADORES!$A:$D,2,FALSE)&amp;" ")+1,99)),1)&amp;".")),""))</f>
        <v/>
      </c>
      <c r="F170" s="16">
        <f>IF($B170="PAGADO",MID("ABCDEFGHIJ",INT(VALUE($A170)/100)+1,1)&amp;"-"&amp;$A170,"")</f>
        <v/>
      </c>
      <c r="G170" s="16">
        <f>IF($B170="PAGADO","PAGADO",IF($B170="APARTADO",IF(NOT(ISNUMBER($C170)),"APARTADO",IF($C170&lt;1,"APARTADO",IF(NOW()-$C170&gt;1,"LIBRE","APARTADO"))),"LIBRE"))</f>
        <v/>
      </c>
      <c r="H170" s="15">
        <f>IF($G170&lt;&gt;"APARTADO","",IF(NOT(ISNUMBER($C170)),"FALTA LA HORA",IF($C170&lt;1,"FALTA LA FECHA",TEXT($C170+1,"dd/mm hh:mm"))))</f>
        <v/>
      </c>
    </row>
    <row r="171">
      <c r="A171" s="13" t="inlineStr">
        <is>
          <t>169</t>
        </is>
      </c>
      <c r="B171" t="inlineStr">
        <is>
          <t>LIBRE</t>
        </is>
      </c>
      <c r="C171" s="14" t="n"/>
      <c r="E171" s="15">
        <f>IF($G171&lt;&gt;"PAGADO","",IFERROR(IF(VLOOKUP($A171,COMPRADORES!$A:$D,4,FALSE)="NO","Reservado",LEFT(VLOOKUP($A171,COMPRADORES!$A:$D,2,FALSE),3)&amp;"***"&amp;IF(TRIM(MID(VLOOKUP($A171,COMPRADORES!$A:$D,2,FALSE)&amp;" ",FIND(" ",VLOOKUP($A171,COMPRADORES!$A:$D,2,FALSE)&amp;" ")+1,99))="",""," "&amp;LEFT(TRIM(MID(VLOOKUP($A171,COMPRADORES!$A:$D,2,FALSE)&amp;" ",FIND(" ",VLOOKUP($A171,COMPRADORES!$A:$D,2,FALSE)&amp;" ")+1,99)),1)&amp;".")),""))</f>
        <v/>
      </c>
      <c r="F171" s="16">
        <f>IF($B171="PAGADO",MID("ABCDEFGHIJ",INT(VALUE($A171)/100)+1,1)&amp;"-"&amp;$A171,"")</f>
        <v/>
      </c>
      <c r="G171" s="16">
        <f>IF($B171="PAGADO","PAGADO",IF($B171="APARTADO",IF(NOT(ISNUMBER($C171)),"APARTADO",IF($C171&lt;1,"APARTADO",IF(NOW()-$C171&gt;1,"LIBRE","APARTADO"))),"LIBRE"))</f>
        <v/>
      </c>
      <c r="H171" s="15">
        <f>IF($G171&lt;&gt;"APARTADO","",IF(NOT(ISNUMBER($C171)),"FALTA LA HORA",IF($C171&lt;1,"FALTA LA FECHA",TEXT($C171+1,"dd/mm hh:mm"))))</f>
        <v/>
      </c>
    </row>
    <row r="172">
      <c r="A172" s="13" t="inlineStr">
        <is>
          <t>170</t>
        </is>
      </c>
      <c r="B172" t="inlineStr">
        <is>
          <t>LIBRE</t>
        </is>
      </c>
      <c r="C172" s="14" t="n"/>
      <c r="E172" s="15">
        <f>IF($G172&lt;&gt;"PAGADO","",IFERROR(IF(VLOOKUP($A172,COMPRADORES!$A:$D,4,FALSE)="NO","Reservado",LEFT(VLOOKUP($A172,COMPRADORES!$A:$D,2,FALSE),3)&amp;"***"&amp;IF(TRIM(MID(VLOOKUP($A172,COMPRADORES!$A:$D,2,FALSE)&amp;" ",FIND(" ",VLOOKUP($A172,COMPRADORES!$A:$D,2,FALSE)&amp;" ")+1,99))="",""," "&amp;LEFT(TRIM(MID(VLOOKUP($A172,COMPRADORES!$A:$D,2,FALSE)&amp;" ",FIND(" ",VLOOKUP($A172,COMPRADORES!$A:$D,2,FALSE)&amp;" ")+1,99)),1)&amp;".")),""))</f>
        <v/>
      </c>
      <c r="F172" s="16">
        <f>IF($B172="PAGADO",MID("ABCDEFGHIJ",INT(VALUE($A172)/100)+1,1)&amp;"-"&amp;$A172,"")</f>
        <v/>
      </c>
      <c r="G172" s="16">
        <f>IF($B172="PAGADO","PAGADO",IF($B172="APARTADO",IF(NOT(ISNUMBER($C172)),"APARTADO",IF($C172&lt;1,"APARTADO",IF(NOW()-$C172&gt;1,"LIBRE","APARTADO"))),"LIBRE"))</f>
        <v/>
      </c>
      <c r="H172" s="15">
        <f>IF($G172&lt;&gt;"APARTADO","",IF(NOT(ISNUMBER($C172)),"FALTA LA HORA",IF($C172&lt;1,"FALTA LA FECHA",TEXT($C172+1,"dd/mm hh:mm"))))</f>
        <v/>
      </c>
    </row>
    <row r="173">
      <c r="A173" s="13" t="inlineStr">
        <is>
          <t>171</t>
        </is>
      </c>
      <c r="B173" t="inlineStr">
        <is>
          <t>LIBRE</t>
        </is>
      </c>
      <c r="C173" s="14" t="n"/>
      <c r="E173" s="15">
        <f>IF($G173&lt;&gt;"PAGADO","",IFERROR(IF(VLOOKUP($A173,COMPRADORES!$A:$D,4,FALSE)="NO","Reservado",LEFT(VLOOKUP($A173,COMPRADORES!$A:$D,2,FALSE),3)&amp;"***"&amp;IF(TRIM(MID(VLOOKUP($A173,COMPRADORES!$A:$D,2,FALSE)&amp;" ",FIND(" ",VLOOKUP($A173,COMPRADORES!$A:$D,2,FALSE)&amp;" ")+1,99))="",""," "&amp;LEFT(TRIM(MID(VLOOKUP($A173,COMPRADORES!$A:$D,2,FALSE)&amp;" ",FIND(" ",VLOOKUP($A173,COMPRADORES!$A:$D,2,FALSE)&amp;" ")+1,99)),1)&amp;".")),""))</f>
        <v/>
      </c>
      <c r="F173" s="16">
        <f>IF($B173="PAGADO",MID("ABCDEFGHIJ",INT(VALUE($A173)/100)+1,1)&amp;"-"&amp;$A173,"")</f>
        <v/>
      </c>
      <c r="G173" s="16">
        <f>IF($B173="PAGADO","PAGADO",IF($B173="APARTADO",IF(NOT(ISNUMBER($C173)),"APARTADO",IF($C173&lt;1,"APARTADO",IF(NOW()-$C173&gt;1,"LIBRE","APARTADO"))),"LIBRE"))</f>
        <v/>
      </c>
      <c r="H173" s="15">
        <f>IF($G173&lt;&gt;"APARTADO","",IF(NOT(ISNUMBER($C173)),"FALTA LA HORA",IF($C173&lt;1,"FALTA LA FECHA",TEXT($C173+1,"dd/mm hh:mm"))))</f>
        <v/>
      </c>
    </row>
    <row r="174">
      <c r="A174" s="13" t="inlineStr">
        <is>
          <t>172</t>
        </is>
      </c>
      <c r="B174" t="inlineStr">
        <is>
          <t>LIBRE</t>
        </is>
      </c>
      <c r="C174" s="14" t="n"/>
      <c r="E174" s="15">
        <f>IF($G174&lt;&gt;"PAGADO","",IFERROR(IF(VLOOKUP($A174,COMPRADORES!$A:$D,4,FALSE)="NO","Reservado",LEFT(VLOOKUP($A174,COMPRADORES!$A:$D,2,FALSE),3)&amp;"***"&amp;IF(TRIM(MID(VLOOKUP($A174,COMPRADORES!$A:$D,2,FALSE)&amp;" ",FIND(" ",VLOOKUP($A174,COMPRADORES!$A:$D,2,FALSE)&amp;" ")+1,99))="",""," "&amp;LEFT(TRIM(MID(VLOOKUP($A174,COMPRADORES!$A:$D,2,FALSE)&amp;" ",FIND(" ",VLOOKUP($A174,COMPRADORES!$A:$D,2,FALSE)&amp;" ")+1,99)),1)&amp;".")),""))</f>
        <v/>
      </c>
      <c r="F174" s="16">
        <f>IF($B174="PAGADO",MID("ABCDEFGHIJ",INT(VALUE($A174)/100)+1,1)&amp;"-"&amp;$A174,"")</f>
        <v/>
      </c>
      <c r="G174" s="16">
        <f>IF($B174="PAGADO","PAGADO",IF($B174="APARTADO",IF(NOT(ISNUMBER($C174)),"APARTADO",IF($C174&lt;1,"APARTADO",IF(NOW()-$C174&gt;1,"LIBRE","APARTADO"))),"LIBRE"))</f>
        <v/>
      </c>
      <c r="H174" s="15">
        <f>IF($G174&lt;&gt;"APARTADO","",IF(NOT(ISNUMBER($C174)),"FALTA LA HORA",IF($C174&lt;1,"FALTA LA FECHA",TEXT($C174+1,"dd/mm hh:mm"))))</f>
        <v/>
      </c>
    </row>
    <row r="175">
      <c r="A175" s="13" t="inlineStr">
        <is>
          <t>173</t>
        </is>
      </c>
      <c r="B175" t="inlineStr">
        <is>
          <t>LIBRE</t>
        </is>
      </c>
      <c r="C175" s="14" t="n"/>
      <c r="E175" s="15">
        <f>IF($G175&lt;&gt;"PAGADO","",IFERROR(IF(VLOOKUP($A175,COMPRADORES!$A:$D,4,FALSE)="NO","Reservado",LEFT(VLOOKUP($A175,COMPRADORES!$A:$D,2,FALSE),3)&amp;"***"&amp;IF(TRIM(MID(VLOOKUP($A175,COMPRADORES!$A:$D,2,FALSE)&amp;" ",FIND(" ",VLOOKUP($A175,COMPRADORES!$A:$D,2,FALSE)&amp;" ")+1,99))="",""," "&amp;LEFT(TRIM(MID(VLOOKUP($A175,COMPRADORES!$A:$D,2,FALSE)&amp;" ",FIND(" ",VLOOKUP($A175,COMPRADORES!$A:$D,2,FALSE)&amp;" ")+1,99)),1)&amp;".")),""))</f>
        <v/>
      </c>
      <c r="F175" s="16">
        <f>IF($B175="PAGADO",MID("ABCDEFGHIJ",INT(VALUE($A175)/100)+1,1)&amp;"-"&amp;$A175,"")</f>
        <v/>
      </c>
      <c r="G175" s="16">
        <f>IF($B175="PAGADO","PAGADO",IF($B175="APARTADO",IF(NOT(ISNUMBER($C175)),"APARTADO",IF($C175&lt;1,"APARTADO",IF(NOW()-$C175&gt;1,"LIBRE","APARTADO"))),"LIBRE"))</f>
        <v/>
      </c>
      <c r="H175" s="15">
        <f>IF($G175&lt;&gt;"APARTADO","",IF(NOT(ISNUMBER($C175)),"FALTA LA HORA",IF($C175&lt;1,"FALTA LA FECHA",TEXT($C175+1,"dd/mm hh:mm"))))</f>
        <v/>
      </c>
    </row>
    <row r="176">
      <c r="A176" s="13" t="inlineStr">
        <is>
          <t>174</t>
        </is>
      </c>
      <c r="B176" t="inlineStr">
        <is>
          <t>LIBRE</t>
        </is>
      </c>
      <c r="C176" s="14" t="n"/>
      <c r="E176" s="15">
        <f>IF($G176&lt;&gt;"PAGADO","",IFERROR(IF(VLOOKUP($A176,COMPRADORES!$A:$D,4,FALSE)="NO","Reservado",LEFT(VLOOKUP($A176,COMPRADORES!$A:$D,2,FALSE),3)&amp;"***"&amp;IF(TRIM(MID(VLOOKUP($A176,COMPRADORES!$A:$D,2,FALSE)&amp;" ",FIND(" ",VLOOKUP($A176,COMPRADORES!$A:$D,2,FALSE)&amp;" ")+1,99))="",""," "&amp;LEFT(TRIM(MID(VLOOKUP($A176,COMPRADORES!$A:$D,2,FALSE)&amp;" ",FIND(" ",VLOOKUP($A176,COMPRADORES!$A:$D,2,FALSE)&amp;" ")+1,99)),1)&amp;".")),""))</f>
        <v/>
      </c>
      <c r="F176" s="16">
        <f>IF($B176="PAGADO",MID("ABCDEFGHIJ",INT(VALUE($A176)/100)+1,1)&amp;"-"&amp;$A176,"")</f>
        <v/>
      </c>
      <c r="G176" s="16">
        <f>IF($B176="PAGADO","PAGADO",IF($B176="APARTADO",IF(NOT(ISNUMBER($C176)),"APARTADO",IF($C176&lt;1,"APARTADO",IF(NOW()-$C176&gt;1,"LIBRE","APARTADO"))),"LIBRE"))</f>
        <v/>
      </c>
      <c r="H176" s="15">
        <f>IF($G176&lt;&gt;"APARTADO","",IF(NOT(ISNUMBER($C176)),"FALTA LA HORA",IF($C176&lt;1,"FALTA LA FECHA",TEXT($C176+1,"dd/mm hh:mm"))))</f>
        <v/>
      </c>
    </row>
    <row r="177">
      <c r="A177" s="13" t="inlineStr">
        <is>
          <t>175</t>
        </is>
      </c>
      <c r="B177" t="inlineStr">
        <is>
          <t>LIBRE</t>
        </is>
      </c>
      <c r="C177" s="14" t="n"/>
      <c r="E177" s="15">
        <f>IF($G177&lt;&gt;"PAGADO","",IFERROR(IF(VLOOKUP($A177,COMPRADORES!$A:$D,4,FALSE)="NO","Reservado",LEFT(VLOOKUP($A177,COMPRADORES!$A:$D,2,FALSE),3)&amp;"***"&amp;IF(TRIM(MID(VLOOKUP($A177,COMPRADORES!$A:$D,2,FALSE)&amp;" ",FIND(" ",VLOOKUP($A177,COMPRADORES!$A:$D,2,FALSE)&amp;" ")+1,99))="",""," "&amp;LEFT(TRIM(MID(VLOOKUP($A177,COMPRADORES!$A:$D,2,FALSE)&amp;" ",FIND(" ",VLOOKUP($A177,COMPRADORES!$A:$D,2,FALSE)&amp;" ")+1,99)),1)&amp;".")),""))</f>
        <v/>
      </c>
      <c r="F177" s="16">
        <f>IF($B177="PAGADO",MID("ABCDEFGHIJ",INT(VALUE($A177)/100)+1,1)&amp;"-"&amp;$A177,"")</f>
        <v/>
      </c>
      <c r="G177" s="16">
        <f>IF($B177="PAGADO","PAGADO",IF($B177="APARTADO",IF(NOT(ISNUMBER($C177)),"APARTADO",IF($C177&lt;1,"APARTADO",IF(NOW()-$C177&gt;1,"LIBRE","APARTADO"))),"LIBRE"))</f>
        <v/>
      </c>
      <c r="H177" s="15">
        <f>IF($G177&lt;&gt;"APARTADO","",IF(NOT(ISNUMBER($C177)),"FALTA LA HORA",IF($C177&lt;1,"FALTA LA FECHA",TEXT($C177+1,"dd/mm hh:mm"))))</f>
        <v/>
      </c>
    </row>
    <row r="178">
      <c r="A178" s="13" t="inlineStr">
        <is>
          <t>176</t>
        </is>
      </c>
      <c r="B178" t="inlineStr">
        <is>
          <t>LIBRE</t>
        </is>
      </c>
      <c r="C178" s="14" t="n"/>
      <c r="E178" s="15">
        <f>IF($G178&lt;&gt;"PAGADO","",IFERROR(IF(VLOOKUP($A178,COMPRADORES!$A:$D,4,FALSE)="NO","Reservado",LEFT(VLOOKUP($A178,COMPRADORES!$A:$D,2,FALSE),3)&amp;"***"&amp;IF(TRIM(MID(VLOOKUP($A178,COMPRADORES!$A:$D,2,FALSE)&amp;" ",FIND(" ",VLOOKUP($A178,COMPRADORES!$A:$D,2,FALSE)&amp;" ")+1,99))="",""," "&amp;LEFT(TRIM(MID(VLOOKUP($A178,COMPRADORES!$A:$D,2,FALSE)&amp;" ",FIND(" ",VLOOKUP($A178,COMPRADORES!$A:$D,2,FALSE)&amp;" ")+1,99)),1)&amp;".")),""))</f>
        <v/>
      </c>
      <c r="F178" s="16">
        <f>IF($B178="PAGADO",MID("ABCDEFGHIJ",INT(VALUE($A178)/100)+1,1)&amp;"-"&amp;$A178,"")</f>
        <v/>
      </c>
      <c r="G178" s="16">
        <f>IF($B178="PAGADO","PAGADO",IF($B178="APARTADO",IF(NOT(ISNUMBER($C178)),"APARTADO",IF($C178&lt;1,"APARTADO",IF(NOW()-$C178&gt;1,"LIBRE","APARTADO"))),"LIBRE"))</f>
        <v/>
      </c>
      <c r="H178" s="15">
        <f>IF($G178&lt;&gt;"APARTADO","",IF(NOT(ISNUMBER($C178)),"FALTA LA HORA",IF($C178&lt;1,"FALTA LA FECHA",TEXT($C178+1,"dd/mm hh:mm"))))</f>
        <v/>
      </c>
    </row>
    <row r="179">
      <c r="A179" s="13" t="inlineStr">
        <is>
          <t>177</t>
        </is>
      </c>
      <c r="B179" t="inlineStr">
        <is>
          <t>LIBRE</t>
        </is>
      </c>
      <c r="C179" s="14" t="n"/>
      <c r="E179" s="15">
        <f>IF($G179&lt;&gt;"PAGADO","",IFERROR(IF(VLOOKUP($A179,COMPRADORES!$A:$D,4,FALSE)="NO","Reservado",LEFT(VLOOKUP($A179,COMPRADORES!$A:$D,2,FALSE),3)&amp;"***"&amp;IF(TRIM(MID(VLOOKUP($A179,COMPRADORES!$A:$D,2,FALSE)&amp;" ",FIND(" ",VLOOKUP($A179,COMPRADORES!$A:$D,2,FALSE)&amp;" ")+1,99))="",""," "&amp;LEFT(TRIM(MID(VLOOKUP($A179,COMPRADORES!$A:$D,2,FALSE)&amp;" ",FIND(" ",VLOOKUP($A179,COMPRADORES!$A:$D,2,FALSE)&amp;" ")+1,99)),1)&amp;".")),""))</f>
        <v/>
      </c>
      <c r="F179" s="16">
        <f>IF($B179="PAGADO",MID("ABCDEFGHIJ",INT(VALUE($A179)/100)+1,1)&amp;"-"&amp;$A179,"")</f>
        <v/>
      </c>
      <c r="G179" s="16">
        <f>IF($B179="PAGADO","PAGADO",IF($B179="APARTADO",IF(NOT(ISNUMBER($C179)),"APARTADO",IF($C179&lt;1,"APARTADO",IF(NOW()-$C179&gt;1,"LIBRE","APARTADO"))),"LIBRE"))</f>
        <v/>
      </c>
      <c r="H179" s="15">
        <f>IF($G179&lt;&gt;"APARTADO","",IF(NOT(ISNUMBER($C179)),"FALTA LA HORA",IF($C179&lt;1,"FALTA LA FECHA",TEXT($C179+1,"dd/mm hh:mm"))))</f>
        <v/>
      </c>
    </row>
    <row r="180">
      <c r="A180" s="13" t="inlineStr">
        <is>
          <t>178</t>
        </is>
      </c>
      <c r="B180" t="inlineStr">
        <is>
          <t>LIBRE</t>
        </is>
      </c>
      <c r="C180" s="14" t="n"/>
      <c r="E180" s="15">
        <f>IF($G180&lt;&gt;"PAGADO","",IFERROR(IF(VLOOKUP($A180,COMPRADORES!$A:$D,4,FALSE)="NO","Reservado",LEFT(VLOOKUP($A180,COMPRADORES!$A:$D,2,FALSE),3)&amp;"***"&amp;IF(TRIM(MID(VLOOKUP($A180,COMPRADORES!$A:$D,2,FALSE)&amp;" ",FIND(" ",VLOOKUP($A180,COMPRADORES!$A:$D,2,FALSE)&amp;" ")+1,99))="",""," "&amp;LEFT(TRIM(MID(VLOOKUP($A180,COMPRADORES!$A:$D,2,FALSE)&amp;" ",FIND(" ",VLOOKUP($A180,COMPRADORES!$A:$D,2,FALSE)&amp;" ")+1,99)),1)&amp;".")),""))</f>
        <v/>
      </c>
      <c r="F180" s="16">
        <f>IF($B180="PAGADO",MID("ABCDEFGHIJ",INT(VALUE($A180)/100)+1,1)&amp;"-"&amp;$A180,"")</f>
        <v/>
      </c>
      <c r="G180" s="16">
        <f>IF($B180="PAGADO","PAGADO",IF($B180="APARTADO",IF(NOT(ISNUMBER($C180)),"APARTADO",IF($C180&lt;1,"APARTADO",IF(NOW()-$C180&gt;1,"LIBRE","APARTADO"))),"LIBRE"))</f>
        <v/>
      </c>
      <c r="H180" s="15">
        <f>IF($G180&lt;&gt;"APARTADO","",IF(NOT(ISNUMBER($C180)),"FALTA LA HORA",IF($C180&lt;1,"FALTA LA FECHA",TEXT($C180+1,"dd/mm hh:mm"))))</f>
        <v/>
      </c>
    </row>
    <row r="181">
      <c r="A181" s="13" t="inlineStr">
        <is>
          <t>179</t>
        </is>
      </c>
      <c r="B181" t="inlineStr">
        <is>
          <t>LIBRE</t>
        </is>
      </c>
      <c r="C181" s="14" t="n"/>
      <c r="E181" s="15">
        <f>IF($G181&lt;&gt;"PAGADO","",IFERROR(IF(VLOOKUP($A181,COMPRADORES!$A:$D,4,FALSE)="NO","Reservado",LEFT(VLOOKUP($A181,COMPRADORES!$A:$D,2,FALSE),3)&amp;"***"&amp;IF(TRIM(MID(VLOOKUP($A181,COMPRADORES!$A:$D,2,FALSE)&amp;" ",FIND(" ",VLOOKUP($A181,COMPRADORES!$A:$D,2,FALSE)&amp;" ")+1,99))="",""," "&amp;LEFT(TRIM(MID(VLOOKUP($A181,COMPRADORES!$A:$D,2,FALSE)&amp;" ",FIND(" ",VLOOKUP($A181,COMPRADORES!$A:$D,2,FALSE)&amp;" ")+1,99)),1)&amp;".")),""))</f>
        <v/>
      </c>
      <c r="F181" s="16">
        <f>IF($B181="PAGADO",MID("ABCDEFGHIJ",INT(VALUE($A181)/100)+1,1)&amp;"-"&amp;$A181,"")</f>
        <v/>
      </c>
      <c r="G181" s="16">
        <f>IF($B181="PAGADO","PAGADO",IF($B181="APARTADO",IF(NOT(ISNUMBER($C181)),"APARTADO",IF($C181&lt;1,"APARTADO",IF(NOW()-$C181&gt;1,"LIBRE","APARTADO"))),"LIBRE"))</f>
        <v/>
      </c>
      <c r="H181" s="15">
        <f>IF($G181&lt;&gt;"APARTADO","",IF(NOT(ISNUMBER($C181)),"FALTA LA HORA",IF($C181&lt;1,"FALTA LA FECHA",TEXT($C181+1,"dd/mm hh:mm"))))</f>
        <v/>
      </c>
    </row>
    <row r="182">
      <c r="A182" s="13" t="inlineStr">
        <is>
          <t>180</t>
        </is>
      </c>
      <c r="B182" t="inlineStr">
        <is>
          <t>LIBRE</t>
        </is>
      </c>
      <c r="C182" s="14" t="n"/>
      <c r="E182" s="15">
        <f>IF($G182&lt;&gt;"PAGADO","",IFERROR(IF(VLOOKUP($A182,COMPRADORES!$A:$D,4,FALSE)="NO","Reservado",LEFT(VLOOKUP($A182,COMPRADORES!$A:$D,2,FALSE),3)&amp;"***"&amp;IF(TRIM(MID(VLOOKUP($A182,COMPRADORES!$A:$D,2,FALSE)&amp;" ",FIND(" ",VLOOKUP($A182,COMPRADORES!$A:$D,2,FALSE)&amp;" ")+1,99))="",""," "&amp;LEFT(TRIM(MID(VLOOKUP($A182,COMPRADORES!$A:$D,2,FALSE)&amp;" ",FIND(" ",VLOOKUP($A182,COMPRADORES!$A:$D,2,FALSE)&amp;" ")+1,99)),1)&amp;".")),""))</f>
        <v/>
      </c>
      <c r="F182" s="16">
        <f>IF($B182="PAGADO",MID("ABCDEFGHIJ",INT(VALUE($A182)/100)+1,1)&amp;"-"&amp;$A182,"")</f>
        <v/>
      </c>
      <c r="G182" s="16">
        <f>IF($B182="PAGADO","PAGADO",IF($B182="APARTADO",IF(NOT(ISNUMBER($C182)),"APARTADO",IF($C182&lt;1,"APARTADO",IF(NOW()-$C182&gt;1,"LIBRE","APARTADO"))),"LIBRE"))</f>
        <v/>
      </c>
      <c r="H182" s="15">
        <f>IF($G182&lt;&gt;"APARTADO","",IF(NOT(ISNUMBER($C182)),"FALTA LA HORA",IF($C182&lt;1,"FALTA LA FECHA",TEXT($C182+1,"dd/mm hh:mm"))))</f>
        <v/>
      </c>
    </row>
    <row r="183">
      <c r="A183" s="13" t="inlineStr">
        <is>
          <t>181</t>
        </is>
      </c>
      <c r="B183" t="inlineStr">
        <is>
          <t>LIBRE</t>
        </is>
      </c>
      <c r="C183" s="14" t="n"/>
      <c r="E183" s="15">
        <f>IF($G183&lt;&gt;"PAGADO","",IFERROR(IF(VLOOKUP($A183,COMPRADORES!$A:$D,4,FALSE)="NO","Reservado",LEFT(VLOOKUP($A183,COMPRADORES!$A:$D,2,FALSE),3)&amp;"***"&amp;IF(TRIM(MID(VLOOKUP($A183,COMPRADORES!$A:$D,2,FALSE)&amp;" ",FIND(" ",VLOOKUP($A183,COMPRADORES!$A:$D,2,FALSE)&amp;" ")+1,99))="",""," "&amp;LEFT(TRIM(MID(VLOOKUP($A183,COMPRADORES!$A:$D,2,FALSE)&amp;" ",FIND(" ",VLOOKUP($A183,COMPRADORES!$A:$D,2,FALSE)&amp;" ")+1,99)),1)&amp;".")),""))</f>
        <v/>
      </c>
      <c r="F183" s="16">
        <f>IF($B183="PAGADO",MID("ABCDEFGHIJ",INT(VALUE($A183)/100)+1,1)&amp;"-"&amp;$A183,"")</f>
        <v/>
      </c>
      <c r="G183" s="16">
        <f>IF($B183="PAGADO","PAGADO",IF($B183="APARTADO",IF(NOT(ISNUMBER($C183)),"APARTADO",IF($C183&lt;1,"APARTADO",IF(NOW()-$C183&gt;1,"LIBRE","APARTADO"))),"LIBRE"))</f>
        <v/>
      </c>
      <c r="H183" s="15">
        <f>IF($G183&lt;&gt;"APARTADO","",IF(NOT(ISNUMBER($C183)),"FALTA LA HORA",IF($C183&lt;1,"FALTA LA FECHA",TEXT($C183+1,"dd/mm hh:mm"))))</f>
        <v/>
      </c>
    </row>
    <row r="184">
      <c r="A184" s="13" t="inlineStr">
        <is>
          <t>182</t>
        </is>
      </c>
      <c r="B184" t="inlineStr">
        <is>
          <t>LIBRE</t>
        </is>
      </c>
      <c r="C184" s="14" t="n"/>
      <c r="E184" s="15">
        <f>IF($G184&lt;&gt;"PAGADO","",IFERROR(IF(VLOOKUP($A184,COMPRADORES!$A:$D,4,FALSE)="NO","Reservado",LEFT(VLOOKUP($A184,COMPRADORES!$A:$D,2,FALSE),3)&amp;"***"&amp;IF(TRIM(MID(VLOOKUP($A184,COMPRADORES!$A:$D,2,FALSE)&amp;" ",FIND(" ",VLOOKUP($A184,COMPRADORES!$A:$D,2,FALSE)&amp;" ")+1,99))="",""," "&amp;LEFT(TRIM(MID(VLOOKUP($A184,COMPRADORES!$A:$D,2,FALSE)&amp;" ",FIND(" ",VLOOKUP($A184,COMPRADORES!$A:$D,2,FALSE)&amp;" ")+1,99)),1)&amp;".")),""))</f>
        <v/>
      </c>
      <c r="F184" s="16">
        <f>IF($B184="PAGADO",MID("ABCDEFGHIJ",INT(VALUE($A184)/100)+1,1)&amp;"-"&amp;$A184,"")</f>
        <v/>
      </c>
      <c r="G184" s="16">
        <f>IF($B184="PAGADO","PAGADO",IF($B184="APARTADO",IF(NOT(ISNUMBER($C184)),"APARTADO",IF($C184&lt;1,"APARTADO",IF(NOW()-$C184&gt;1,"LIBRE","APARTADO"))),"LIBRE"))</f>
        <v/>
      </c>
      <c r="H184" s="15">
        <f>IF($G184&lt;&gt;"APARTADO","",IF(NOT(ISNUMBER($C184)),"FALTA LA HORA",IF($C184&lt;1,"FALTA LA FECHA",TEXT($C184+1,"dd/mm hh:mm"))))</f>
        <v/>
      </c>
    </row>
    <row r="185">
      <c r="A185" s="13" t="inlineStr">
        <is>
          <t>183</t>
        </is>
      </c>
      <c r="B185" t="inlineStr">
        <is>
          <t>LIBRE</t>
        </is>
      </c>
      <c r="C185" s="14" t="n"/>
      <c r="E185" s="15">
        <f>IF($G185&lt;&gt;"PAGADO","",IFERROR(IF(VLOOKUP($A185,COMPRADORES!$A:$D,4,FALSE)="NO","Reservado",LEFT(VLOOKUP($A185,COMPRADORES!$A:$D,2,FALSE),3)&amp;"***"&amp;IF(TRIM(MID(VLOOKUP($A185,COMPRADORES!$A:$D,2,FALSE)&amp;" ",FIND(" ",VLOOKUP($A185,COMPRADORES!$A:$D,2,FALSE)&amp;" ")+1,99))="",""," "&amp;LEFT(TRIM(MID(VLOOKUP($A185,COMPRADORES!$A:$D,2,FALSE)&amp;" ",FIND(" ",VLOOKUP($A185,COMPRADORES!$A:$D,2,FALSE)&amp;" ")+1,99)),1)&amp;".")),""))</f>
        <v/>
      </c>
      <c r="F185" s="16">
        <f>IF($B185="PAGADO",MID("ABCDEFGHIJ",INT(VALUE($A185)/100)+1,1)&amp;"-"&amp;$A185,"")</f>
        <v/>
      </c>
      <c r="G185" s="16">
        <f>IF($B185="PAGADO","PAGADO",IF($B185="APARTADO",IF(NOT(ISNUMBER($C185)),"APARTADO",IF($C185&lt;1,"APARTADO",IF(NOW()-$C185&gt;1,"LIBRE","APARTADO"))),"LIBRE"))</f>
        <v/>
      </c>
      <c r="H185" s="15">
        <f>IF($G185&lt;&gt;"APARTADO","",IF(NOT(ISNUMBER($C185)),"FALTA LA HORA",IF($C185&lt;1,"FALTA LA FECHA",TEXT($C185+1,"dd/mm hh:mm"))))</f>
        <v/>
      </c>
    </row>
    <row r="186">
      <c r="A186" s="13" t="inlineStr">
        <is>
          <t>184</t>
        </is>
      </c>
      <c r="B186" t="inlineStr">
        <is>
          <t>LIBRE</t>
        </is>
      </c>
      <c r="C186" s="14" t="n"/>
      <c r="E186" s="15">
        <f>IF($G186&lt;&gt;"PAGADO","",IFERROR(IF(VLOOKUP($A186,COMPRADORES!$A:$D,4,FALSE)="NO","Reservado",LEFT(VLOOKUP($A186,COMPRADORES!$A:$D,2,FALSE),3)&amp;"***"&amp;IF(TRIM(MID(VLOOKUP($A186,COMPRADORES!$A:$D,2,FALSE)&amp;" ",FIND(" ",VLOOKUP($A186,COMPRADORES!$A:$D,2,FALSE)&amp;" ")+1,99))="",""," "&amp;LEFT(TRIM(MID(VLOOKUP($A186,COMPRADORES!$A:$D,2,FALSE)&amp;" ",FIND(" ",VLOOKUP($A186,COMPRADORES!$A:$D,2,FALSE)&amp;" ")+1,99)),1)&amp;".")),""))</f>
        <v/>
      </c>
      <c r="F186" s="16">
        <f>IF($B186="PAGADO",MID("ABCDEFGHIJ",INT(VALUE($A186)/100)+1,1)&amp;"-"&amp;$A186,"")</f>
        <v/>
      </c>
      <c r="G186" s="16">
        <f>IF($B186="PAGADO","PAGADO",IF($B186="APARTADO",IF(NOT(ISNUMBER($C186)),"APARTADO",IF($C186&lt;1,"APARTADO",IF(NOW()-$C186&gt;1,"LIBRE","APARTADO"))),"LIBRE"))</f>
        <v/>
      </c>
      <c r="H186" s="15">
        <f>IF($G186&lt;&gt;"APARTADO","",IF(NOT(ISNUMBER($C186)),"FALTA LA HORA",IF($C186&lt;1,"FALTA LA FECHA",TEXT($C186+1,"dd/mm hh:mm"))))</f>
        <v/>
      </c>
    </row>
    <row r="187">
      <c r="A187" s="13" t="inlineStr">
        <is>
          <t>185</t>
        </is>
      </c>
      <c r="B187" t="inlineStr">
        <is>
          <t>LIBRE</t>
        </is>
      </c>
      <c r="C187" s="14" t="n"/>
      <c r="E187" s="15">
        <f>IF($G187&lt;&gt;"PAGADO","",IFERROR(IF(VLOOKUP($A187,COMPRADORES!$A:$D,4,FALSE)="NO","Reservado",LEFT(VLOOKUP($A187,COMPRADORES!$A:$D,2,FALSE),3)&amp;"***"&amp;IF(TRIM(MID(VLOOKUP($A187,COMPRADORES!$A:$D,2,FALSE)&amp;" ",FIND(" ",VLOOKUP($A187,COMPRADORES!$A:$D,2,FALSE)&amp;" ")+1,99))="",""," "&amp;LEFT(TRIM(MID(VLOOKUP($A187,COMPRADORES!$A:$D,2,FALSE)&amp;" ",FIND(" ",VLOOKUP($A187,COMPRADORES!$A:$D,2,FALSE)&amp;" ")+1,99)),1)&amp;".")),""))</f>
        <v/>
      </c>
      <c r="F187" s="16">
        <f>IF($B187="PAGADO",MID("ABCDEFGHIJ",INT(VALUE($A187)/100)+1,1)&amp;"-"&amp;$A187,"")</f>
        <v/>
      </c>
      <c r="G187" s="16">
        <f>IF($B187="PAGADO","PAGADO",IF($B187="APARTADO",IF(NOT(ISNUMBER($C187)),"APARTADO",IF($C187&lt;1,"APARTADO",IF(NOW()-$C187&gt;1,"LIBRE","APARTADO"))),"LIBRE"))</f>
        <v/>
      </c>
      <c r="H187" s="15">
        <f>IF($G187&lt;&gt;"APARTADO","",IF(NOT(ISNUMBER($C187)),"FALTA LA HORA",IF($C187&lt;1,"FALTA LA FECHA",TEXT($C187+1,"dd/mm hh:mm"))))</f>
        <v/>
      </c>
    </row>
    <row r="188">
      <c r="A188" s="13" t="inlineStr">
        <is>
          <t>186</t>
        </is>
      </c>
      <c r="B188" t="inlineStr">
        <is>
          <t>LIBRE</t>
        </is>
      </c>
      <c r="C188" s="14" t="n"/>
      <c r="E188" s="15">
        <f>IF($G188&lt;&gt;"PAGADO","",IFERROR(IF(VLOOKUP($A188,COMPRADORES!$A:$D,4,FALSE)="NO","Reservado",LEFT(VLOOKUP($A188,COMPRADORES!$A:$D,2,FALSE),3)&amp;"***"&amp;IF(TRIM(MID(VLOOKUP($A188,COMPRADORES!$A:$D,2,FALSE)&amp;" ",FIND(" ",VLOOKUP($A188,COMPRADORES!$A:$D,2,FALSE)&amp;" ")+1,99))="",""," "&amp;LEFT(TRIM(MID(VLOOKUP($A188,COMPRADORES!$A:$D,2,FALSE)&amp;" ",FIND(" ",VLOOKUP($A188,COMPRADORES!$A:$D,2,FALSE)&amp;" ")+1,99)),1)&amp;".")),""))</f>
        <v/>
      </c>
      <c r="F188" s="16">
        <f>IF($B188="PAGADO",MID("ABCDEFGHIJ",INT(VALUE($A188)/100)+1,1)&amp;"-"&amp;$A188,"")</f>
        <v/>
      </c>
      <c r="G188" s="16">
        <f>IF($B188="PAGADO","PAGADO",IF($B188="APARTADO",IF(NOT(ISNUMBER($C188)),"APARTADO",IF($C188&lt;1,"APARTADO",IF(NOW()-$C188&gt;1,"LIBRE","APARTADO"))),"LIBRE"))</f>
        <v/>
      </c>
      <c r="H188" s="15">
        <f>IF($G188&lt;&gt;"APARTADO","",IF(NOT(ISNUMBER($C188)),"FALTA LA HORA",IF($C188&lt;1,"FALTA LA FECHA",TEXT($C188+1,"dd/mm hh:mm"))))</f>
        <v/>
      </c>
    </row>
    <row r="189">
      <c r="A189" s="13" t="inlineStr">
        <is>
          <t>187</t>
        </is>
      </c>
      <c r="B189" t="inlineStr">
        <is>
          <t>LIBRE</t>
        </is>
      </c>
      <c r="C189" s="14" t="n"/>
      <c r="E189" s="15">
        <f>IF($G189&lt;&gt;"PAGADO","",IFERROR(IF(VLOOKUP($A189,COMPRADORES!$A:$D,4,FALSE)="NO","Reservado",LEFT(VLOOKUP($A189,COMPRADORES!$A:$D,2,FALSE),3)&amp;"***"&amp;IF(TRIM(MID(VLOOKUP($A189,COMPRADORES!$A:$D,2,FALSE)&amp;" ",FIND(" ",VLOOKUP($A189,COMPRADORES!$A:$D,2,FALSE)&amp;" ")+1,99))="",""," "&amp;LEFT(TRIM(MID(VLOOKUP($A189,COMPRADORES!$A:$D,2,FALSE)&amp;" ",FIND(" ",VLOOKUP($A189,COMPRADORES!$A:$D,2,FALSE)&amp;" ")+1,99)),1)&amp;".")),""))</f>
        <v/>
      </c>
      <c r="F189" s="16">
        <f>IF($B189="PAGADO",MID("ABCDEFGHIJ",INT(VALUE($A189)/100)+1,1)&amp;"-"&amp;$A189,"")</f>
        <v/>
      </c>
      <c r="G189" s="16">
        <f>IF($B189="PAGADO","PAGADO",IF($B189="APARTADO",IF(NOT(ISNUMBER($C189)),"APARTADO",IF($C189&lt;1,"APARTADO",IF(NOW()-$C189&gt;1,"LIBRE","APARTADO"))),"LIBRE"))</f>
        <v/>
      </c>
      <c r="H189" s="15">
        <f>IF($G189&lt;&gt;"APARTADO","",IF(NOT(ISNUMBER($C189)),"FALTA LA HORA",IF($C189&lt;1,"FALTA LA FECHA",TEXT($C189+1,"dd/mm hh:mm"))))</f>
        <v/>
      </c>
    </row>
    <row r="190">
      <c r="A190" s="13" t="inlineStr">
        <is>
          <t>188</t>
        </is>
      </c>
      <c r="B190" t="inlineStr">
        <is>
          <t>LIBRE</t>
        </is>
      </c>
      <c r="C190" s="14" t="n"/>
      <c r="E190" s="15">
        <f>IF($G190&lt;&gt;"PAGADO","",IFERROR(IF(VLOOKUP($A190,COMPRADORES!$A:$D,4,FALSE)="NO","Reservado",LEFT(VLOOKUP($A190,COMPRADORES!$A:$D,2,FALSE),3)&amp;"***"&amp;IF(TRIM(MID(VLOOKUP($A190,COMPRADORES!$A:$D,2,FALSE)&amp;" ",FIND(" ",VLOOKUP($A190,COMPRADORES!$A:$D,2,FALSE)&amp;" ")+1,99))="",""," "&amp;LEFT(TRIM(MID(VLOOKUP($A190,COMPRADORES!$A:$D,2,FALSE)&amp;" ",FIND(" ",VLOOKUP($A190,COMPRADORES!$A:$D,2,FALSE)&amp;" ")+1,99)),1)&amp;".")),""))</f>
        <v/>
      </c>
      <c r="F190" s="16">
        <f>IF($B190="PAGADO",MID("ABCDEFGHIJ",INT(VALUE($A190)/100)+1,1)&amp;"-"&amp;$A190,"")</f>
        <v/>
      </c>
      <c r="G190" s="16">
        <f>IF($B190="PAGADO","PAGADO",IF($B190="APARTADO",IF(NOT(ISNUMBER($C190)),"APARTADO",IF($C190&lt;1,"APARTADO",IF(NOW()-$C190&gt;1,"LIBRE","APARTADO"))),"LIBRE"))</f>
        <v/>
      </c>
      <c r="H190" s="15">
        <f>IF($G190&lt;&gt;"APARTADO","",IF(NOT(ISNUMBER($C190)),"FALTA LA HORA",IF($C190&lt;1,"FALTA LA FECHA",TEXT($C190+1,"dd/mm hh:mm"))))</f>
        <v/>
      </c>
    </row>
    <row r="191">
      <c r="A191" s="13" t="inlineStr">
        <is>
          <t>189</t>
        </is>
      </c>
      <c r="B191" t="inlineStr">
        <is>
          <t>LIBRE</t>
        </is>
      </c>
      <c r="C191" s="14" t="n"/>
      <c r="E191" s="15">
        <f>IF($G191&lt;&gt;"PAGADO","",IFERROR(IF(VLOOKUP($A191,COMPRADORES!$A:$D,4,FALSE)="NO","Reservado",LEFT(VLOOKUP($A191,COMPRADORES!$A:$D,2,FALSE),3)&amp;"***"&amp;IF(TRIM(MID(VLOOKUP($A191,COMPRADORES!$A:$D,2,FALSE)&amp;" ",FIND(" ",VLOOKUP($A191,COMPRADORES!$A:$D,2,FALSE)&amp;" ")+1,99))="",""," "&amp;LEFT(TRIM(MID(VLOOKUP($A191,COMPRADORES!$A:$D,2,FALSE)&amp;" ",FIND(" ",VLOOKUP($A191,COMPRADORES!$A:$D,2,FALSE)&amp;" ")+1,99)),1)&amp;".")),""))</f>
        <v/>
      </c>
      <c r="F191" s="16">
        <f>IF($B191="PAGADO",MID("ABCDEFGHIJ",INT(VALUE($A191)/100)+1,1)&amp;"-"&amp;$A191,"")</f>
        <v/>
      </c>
      <c r="G191" s="16">
        <f>IF($B191="PAGADO","PAGADO",IF($B191="APARTADO",IF(NOT(ISNUMBER($C191)),"APARTADO",IF($C191&lt;1,"APARTADO",IF(NOW()-$C191&gt;1,"LIBRE","APARTADO"))),"LIBRE"))</f>
        <v/>
      </c>
      <c r="H191" s="15">
        <f>IF($G191&lt;&gt;"APARTADO","",IF(NOT(ISNUMBER($C191)),"FALTA LA HORA",IF($C191&lt;1,"FALTA LA FECHA",TEXT($C191+1,"dd/mm hh:mm"))))</f>
        <v/>
      </c>
    </row>
    <row r="192">
      <c r="A192" s="13" t="inlineStr">
        <is>
          <t>190</t>
        </is>
      </c>
      <c r="B192" t="inlineStr">
        <is>
          <t>LIBRE</t>
        </is>
      </c>
      <c r="C192" s="14" t="n"/>
      <c r="E192" s="15">
        <f>IF($G192&lt;&gt;"PAGADO","",IFERROR(IF(VLOOKUP($A192,COMPRADORES!$A:$D,4,FALSE)="NO","Reservado",LEFT(VLOOKUP($A192,COMPRADORES!$A:$D,2,FALSE),3)&amp;"***"&amp;IF(TRIM(MID(VLOOKUP($A192,COMPRADORES!$A:$D,2,FALSE)&amp;" ",FIND(" ",VLOOKUP($A192,COMPRADORES!$A:$D,2,FALSE)&amp;" ")+1,99))="",""," "&amp;LEFT(TRIM(MID(VLOOKUP($A192,COMPRADORES!$A:$D,2,FALSE)&amp;" ",FIND(" ",VLOOKUP($A192,COMPRADORES!$A:$D,2,FALSE)&amp;" ")+1,99)),1)&amp;".")),""))</f>
        <v/>
      </c>
      <c r="F192" s="16">
        <f>IF($B192="PAGADO",MID("ABCDEFGHIJ",INT(VALUE($A192)/100)+1,1)&amp;"-"&amp;$A192,"")</f>
        <v/>
      </c>
      <c r="G192" s="16">
        <f>IF($B192="PAGADO","PAGADO",IF($B192="APARTADO",IF(NOT(ISNUMBER($C192)),"APARTADO",IF($C192&lt;1,"APARTADO",IF(NOW()-$C192&gt;1,"LIBRE","APARTADO"))),"LIBRE"))</f>
        <v/>
      </c>
      <c r="H192" s="15">
        <f>IF($G192&lt;&gt;"APARTADO","",IF(NOT(ISNUMBER($C192)),"FALTA LA HORA",IF($C192&lt;1,"FALTA LA FECHA",TEXT($C192+1,"dd/mm hh:mm"))))</f>
        <v/>
      </c>
    </row>
    <row r="193">
      <c r="A193" s="13" t="inlineStr">
        <is>
          <t>191</t>
        </is>
      </c>
      <c r="B193" t="inlineStr">
        <is>
          <t>LIBRE</t>
        </is>
      </c>
      <c r="C193" s="14" t="n"/>
      <c r="E193" s="15">
        <f>IF($G193&lt;&gt;"PAGADO","",IFERROR(IF(VLOOKUP($A193,COMPRADORES!$A:$D,4,FALSE)="NO","Reservado",LEFT(VLOOKUP($A193,COMPRADORES!$A:$D,2,FALSE),3)&amp;"***"&amp;IF(TRIM(MID(VLOOKUP($A193,COMPRADORES!$A:$D,2,FALSE)&amp;" ",FIND(" ",VLOOKUP($A193,COMPRADORES!$A:$D,2,FALSE)&amp;" ")+1,99))="",""," "&amp;LEFT(TRIM(MID(VLOOKUP($A193,COMPRADORES!$A:$D,2,FALSE)&amp;" ",FIND(" ",VLOOKUP($A193,COMPRADORES!$A:$D,2,FALSE)&amp;" ")+1,99)),1)&amp;".")),""))</f>
        <v/>
      </c>
      <c r="F193" s="16">
        <f>IF($B193="PAGADO",MID("ABCDEFGHIJ",INT(VALUE($A193)/100)+1,1)&amp;"-"&amp;$A193,"")</f>
        <v/>
      </c>
      <c r="G193" s="16">
        <f>IF($B193="PAGADO","PAGADO",IF($B193="APARTADO",IF(NOT(ISNUMBER($C193)),"APARTADO",IF($C193&lt;1,"APARTADO",IF(NOW()-$C193&gt;1,"LIBRE","APARTADO"))),"LIBRE"))</f>
        <v/>
      </c>
      <c r="H193" s="15">
        <f>IF($G193&lt;&gt;"APARTADO","",IF(NOT(ISNUMBER($C193)),"FALTA LA HORA",IF($C193&lt;1,"FALTA LA FECHA",TEXT($C193+1,"dd/mm hh:mm"))))</f>
        <v/>
      </c>
    </row>
    <row r="194">
      <c r="A194" s="13" t="inlineStr">
        <is>
          <t>192</t>
        </is>
      </c>
      <c r="B194" t="inlineStr">
        <is>
          <t>LIBRE</t>
        </is>
      </c>
      <c r="C194" s="14" t="n"/>
      <c r="E194" s="15">
        <f>IF($G194&lt;&gt;"PAGADO","",IFERROR(IF(VLOOKUP($A194,COMPRADORES!$A:$D,4,FALSE)="NO","Reservado",LEFT(VLOOKUP($A194,COMPRADORES!$A:$D,2,FALSE),3)&amp;"***"&amp;IF(TRIM(MID(VLOOKUP($A194,COMPRADORES!$A:$D,2,FALSE)&amp;" ",FIND(" ",VLOOKUP($A194,COMPRADORES!$A:$D,2,FALSE)&amp;" ")+1,99))="",""," "&amp;LEFT(TRIM(MID(VLOOKUP($A194,COMPRADORES!$A:$D,2,FALSE)&amp;" ",FIND(" ",VLOOKUP($A194,COMPRADORES!$A:$D,2,FALSE)&amp;" ")+1,99)),1)&amp;".")),""))</f>
        <v/>
      </c>
      <c r="F194" s="16">
        <f>IF($B194="PAGADO",MID("ABCDEFGHIJ",INT(VALUE($A194)/100)+1,1)&amp;"-"&amp;$A194,"")</f>
        <v/>
      </c>
      <c r="G194" s="16">
        <f>IF($B194="PAGADO","PAGADO",IF($B194="APARTADO",IF(NOT(ISNUMBER($C194)),"APARTADO",IF($C194&lt;1,"APARTADO",IF(NOW()-$C194&gt;1,"LIBRE","APARTADO"))),"LIBRE"))</f>
        <v/>
      </c>
      <c r="H194" s="15">
        <f>IF($G194&lt;&gt;"APARTADO","",IF(NOT(ISNUMBER($C194)),"FALTA LA HORA",IF($C194&lt;1,"FALTA LA FECHA",TEXT($C194+1,"dd/mm hh:mm"))))</f>
        <v/>
      </c>
    </row>
    <row r="195">
      <c r="A195" s="13" t="inlineStr">
        <is>
          <t>193</t>
        </is>
      </c>
      <c r="B195" t="inlineStr">
        <is>
          <t>LIBRE</t>
        </is>
      </c>
      <c r="C195" s="14" t="n"/>
      <c r="E195" s="15">
        <f>IF($G195&lt;&gt;"PAGADO","",IFERROR(IF(VLOOKUP($A195,COMPRADORES!$A:$D,4,FALSE)="NO","Reservado",LEFT(VLOOKUP($A195,COMPRADORES!$A:$D,2,FALSE),3)&amp;"***"&amp;IF(TRIM(MID(VLOOKUP($A195,COMPRADORES!$A:$D,2,FALSE)&amp;" ",FIND(" ",VLOOKUP($A195,COMPRADORES!$A:$D,2,FALSE)&amp;" ")+1,99))="",""," "&amp;LEFT(TRIM(MID(VLOOKUP($A195,COMPRADORES!$A:$D,2,FALSE)&amp;" ",FIND(" ",VLOOKUP($A195,COMPRADORES!$A:$D,2,FALSE)&amp;" ")+1,99)),1)&amp;".")),""))</f>
        <v/>
      </c>
      <c r="F195" s="16">
        <f>IF($B195="PAGADO",MID("ABCDEFGHIJ",INT(VALUE($A195)/100)+1,1)&amp;"-"&amp;$A195,"")</f>
        <v/>
      </c>
      <c r="G195" s="16">
        <f>IF($B195="PAGADO","PAGADO",IF($B195="APARTADO",IF(NOT(ISNUMBER($C195)),"APARTADO",IF($C195&lt;1,"APARTADO",IF(NOW()-$C195&gt;1,"LIBRE","APARTADO"))),"LIBRE"))</f>
        <v/>
      </c>
      <c r="H195" s="15">
        <f>IF($G195&lt;&gt;"APARTADO","",IF(NOT(ISNUMBER($C195)),"FALTA LA HORA",IF($C195&lt;1,"FALTA LA FECHA",TEXT($C195+1,"dd/mm hh:mm"))))</f>
        <v/>
      </c>
    </row>
    <row r="196">
      <c r="A196" s="13" t="inlineStr">
        <is>
          <t>194</t>
        </is>
      </c>
      <c r="B196" t="inlineStr">
        <is>
          <t>LIBRE</t>
        </is>
      </c>
      <c r="C196" s="14" t="n"/>
      <c r="E196" s="15">
        <f>IF($G196&lt;&gt;"PAGADO","",IFERROR(IF(VLOOKUP($A196,COMPRADORES!$A:$D,4,FALSE)="NO","Reservado",LEFT(VLOOKUP($A196,COMPRADORES!$A:$D,2,FALSE),3)&amp;"***"&amp;IF(TRIM(MID(VLOOKUP($A196,COMPRADORES!$A:$D,2,FALSE)&amp;" ",FIND(" ",VLOOKUP($A196,COMPRADORES!$A:$D,2,FALSE)&amp;" ")+1,99))="",""," "&amp;LEFT(TRIM(MID(VLOOKUP($A196,COMPRADORES!$A:$D,2,FALSE)&amp;" ",FIND(" ",VLOOKUP($A196,COMPRADORES!$A:$D,2,FALSE)&amp;" ")+1,99)),1)&amp;".")),""))</f>
        <v/>
      </c>
      <c r="F196" s="16">
        <f>IF($B196="PAGADO",MID("ABCDEFGHIJ",INT(VALUE($A196)/100)+1,1)&amp;"-"&amp;$A196,"")</f>
        <v/>
      </c>
      <c r="G196" s="16">
        <f>IF($B196="PAGADO","PAGADO",IF($B196="APARTADO",IF(NOT(ISNUMBER($C196)),"APARTADO",IF($C196&lt;1,"APARTADO",IF(NOW()-$C196&gt;1,"LIBRE","APARTADO"))),"LIBRE"))</f>
        <v/>
      </c>
      <c r="H196" s="15">
        <f>IF($G196&lt;&gt;"APARTADO","",IF(NOT(ISNUMBER($C196)),"FALTA LA HORA",IF($C196&lt;1,"FALTA LA FECHA",TEXT($C196+1,"dd/mm hh:mm"))))</f>
        <v/>
      </c>
    </row>
    <row r="197">
      <c r="A197" s="13" t="inlineStr">
        <is>
          <t>195</t>
        </is>
      </c>
      <c r="B197" t="inlineStr">
        <is>
          <t>LIBRE</t>
        </is>
      </c>
      <c r="C197" s="14" t="n"/>
      <c r="E197" s="15">
        <f>IF($G197&lt;&gt;"PAGADO","",IFERROR(IF(VLOOKUP($A197,COMPRADORES!$A:$D,4,FALSE)="NO","Reservado",LEFT(VLOOKUP($A197,COMPRADORES!$A:$D,2,FALSE),3)&amp;"***"&amp;IF(TRIM(MID(VLOOKUP($A197,COMPRADORES!$A:$D,2,FALSE)&amp;" ",FIND(" ",VLOOKUP($A197,COMPRADORES!$A:$D,2,FALSE)&amp;" ")+1,99))="",""," "&amp;LEFT(TRIM(MID(VLOOKUP($A197,COMPRADORES!$A:$D,2,FALSE)&amp;" ",FIND(" ",VLOOKUP($A197,COMPRADORES!$A:$D,2,FALSE)&amp;" ")+1,99)),1)&amp;".")),""))</f>
        <v/>
      </c>
      <c r="F197" s="16">
        <f>IF($B197="PAGADO",MID("ABCDEFGHIJ",INT(VALUE($A197)/100)+1,1)&amp;"-"&amp;$A197,"")</f>
        <v/>
      </c>
      <c r="G197" s="16">
        <f>IF($B197="PAGADO","PAGADO",IF($B197="APARTADO",IF(NOT(ISNUMBER($C197)),"APARTADO",IF($C197&lt;1,"APARTADO",IF(NOW()-$C197&gt;1,"LIBRE","APARTADO"))),"LIBRE"))</f>
        <v/>
      </c>
      <c r="H197" s="15">
        <f>IF($G197&lt;&gt;"APARTADO","",IF(NOT(ISNUMBER($C197)),"FALTA LA HORA",IF($C197&lt;1,"FALTA LA FECHA",TEXT($C197+1,"dd/mm hh:mm"))))</f>
        <v/>
      </c>
    </row>
    <row r="198">
      <c r="A198" s="13" t="inlineStr">
        <is>
          <t>196</t>
        </is>
      </c>
      <c r="B198" t="inlineStr">
        <is>
          <t>LIBRE</t>
        </is>
      </c>
      <c r="C198" s="14" t="n"/>
      <c r="E198" s="15">
        <f>IF($G198&lt;&gt;"PAGADO","",IFERROR(IF(VLOOKUP($A198,COMPRADORES!$A:$D,4,FALSE)="NO","Reservado",LEFT(VLOOKUP($A198,COMPRADORES!$A:$D,2,FALSE),3)&amp;"***"&amp;IF(TRIM(MID(VLOOKUP($A198,COMPRADORES!$A:$D,2,FALSE)&amp;" ",FIND(" ",VLOOKUP($A198,COMPRADORES!$A:$D,2,FALSE)&amp;" ")+1,99))="",""," "&amp;LEFT(TRIM(MID(VLOOKUP($A198,COMPRADORES!$A:$D,2,FALSE)&amp;" ",FIND(" ",VLOOKUP($A198,COMPRADORES!$A:$D,2,FALSE)&amp;" ")+1,99)),1)&amp;".")),""))</f>
        <v/>
      </c>
      <c r="F198" s="16">
        <f>IF($B198="PAGADO",MID("ABCDEFGHIJ",INT(VALUE($A198)/100)+1,1)&amp;"-"&amp;$A198,"")</f>
        <v/>
      </c>
      <c r="G198" s="16">
        <f>IF($B198="PAGADO","PAGADO",IF($B198="APARTADO",IF(NOT(ISNUMBER($C198)),"APARTADO",IF($C198&lt;1,"APARTADO",IF(NOW()-$C198&gt;1,"LIBRE","APARTADO"))),"LIBRE"))</f>
        <v/>
      </c>
      <c r="H198" s="15">
        <f>IF($G198&lt;&gt;"APARTADO","",IF(NOT(ISNUMBER($C198)),"FALTA LA HORA",IF($C198&lt;1,"FALTA LA FECHA",TEXT($C198+1,"dd/mm hh:mm"))))</f>
        <v/>
      </c>
    </row>
    <row r="199">
      <c r="A199" s="13" t="inlineStr">
        <is>
          <t>197</t>
        </is>
      </c>
      <c r="B199" t="inlineStr">
        <is>
          <t>LIBRE</t>
        </is>
      </c>
      <c r="C199" s="14" t="n"/>
      <c r="E199" s="15">
        <f>IF($G199&lt;&gt;"PAGADO","",IFERROR(IF(VLOOKUP($A199,COMPRADORES!$A:$D,4,FALSE)="NO","Reservado",LEFT(VLOOKUP($A199,COMPRADORES!$A:$D,2,FALSE),3)&amp;"***"&amp;IF(TRIM(MID(VLOOKUP($A199,COMPRADORES!$A:$D,2,FALSE)&amp;" ",FIND(" ",VLOOKUP($A199,COMPRADORES!$A:$D,2,FALSE)&amp;" ")+1,99))="",""," "&amp;LEFT(TRIM(MID(VLOOKUP($A199,COMPRADORES!$A:$D,2,FALSE)&amp;" ",FIND(" ",VLOOKUP($A199,COMPRADORES!$A:$D,2,FALSE)&amp;" ")+1,99)),1)&amp;".")),""))</f>
        <v/>
      </c>
      <c r="F199" s="16">
        <f>IF($B199="PAGADO",MID("ABCDEFGHIJ",INT(VALUE($A199)/100)+1,1)&amp;"-"&amp;$A199,"")</f>
        <v/>
      </c>
      <c r="G199" s="16">
        <f>IF($B199="PAGADO","PAGADO",IF($B199="APARTADO",IF(NOT(ISNUMBER($C199)),"APARTADO",IF($C199&lt;1,"APARTADO",IF(NOW()-$C199&gt;1,"LIBRE","APARTADO"))),"LIBRE"))</f>
        <v/>
      </c>
      <c r="H199" s="15">
        <f>IF($G199&lt;&gt;"APARTADO","",IF(NOT(ISNUMBER($C199)),"FALTA LA HORA",IF($C199&lt;1,"FALTA LA FECHA",TEXT($C199+1,"dd/mm hh:mm"))))</f>
        <v/>
      </c>
    </row>
    <row r="200">
      <c r="A200" s="13" t="inlineStr">
        <is>
          <t>198</t>
        </is>
      </c>
      <c r="B200" t="inlineStr">
        <is>
          <t>LIBRE</t>
        </is>
      </c>
      <c r="C200" s="14" t="n"/>
      <c r="E200" s="15">
        <f>IF($G200&lt;&gt;"PAGADO","",IFERROR(IF(VLOOKUP($A200,COMPRADORES!$A:$D,4,FALSE)="NO","Reservado",LEFT(VLOOKUP($A200,COMPRADORES!$A:$D,2,FALSE),3)&amp;"***"&amp;IF(TRIM(MID(VLOOKUP($A200,COMPRADORES!$A:$D,2,FALSE)&amp;" ",FIND(" ",VLOOKUP($A200,COMPRADORES!$A:$D,2,FALSE)&amp;" ")+1,99))="",""," "&amp;LEFT(TRIM(MID(VLOOKUP($A200,COMPRADORES!$A:$D,2,FALSE)&amp;" ",FIND(" ",VLOOKUP($A200,COMPRADORES!$A:$D,2,FALSE)&amp;" ")+1,99)),1)&amp;".")),""))</f>
        <v/>
      </c>
      <c r="F200" s="16">
        <f>IF($B200="PAGADO",MID("ABCDEFGHIJ",INT(VALUE($A200)/100)+1,1)&amp;"-"&amp;$A200,"")</f>
        <v/>
      </c>
      <c r="G200" s="16">
        <f>IF($B200="PAGADO","PAGADO",IF($B200="APARTADO",IF(NOT(ISNUMBER($C200)),"APARTADO",IF($C200&lt;1,"APARTADO",IF(NOW()-$C200&gt;1,"LIBRE","APARTADO"))),"LIBRE"))</f>
        <v/>
      </c>
      <c r="H200" s="15">
        <f>IF($G200&lt;&gt;"APARTADO","",IF(NOT(ISNUMBER($C200)),"FALTA LA HORA",IF($C200&lt;1,"FALTA LA FECHA",TEXT($C200+1,"dd/mm hh:mm"))))</f>
        <v/>
      </c>
    </row>
    <row r="201">
      <c r="A201" s="13" t="inlineStr">
        <is>
          <t>199</t>
        </is>
      </c>
      <c r="B201" t="inlineStr">
        <is>
          <t>LIBRE</t>
        </is>
      </c>
      <c r="C201" s="14" t="n"/>
      <c r="E201" s="15">
        <f>IF($G201&lt;&gt;"PAGADO","",IFERROR(IF(VLOOKUP($A201,COMPRADORES!$A:$D,4,FALSE)="NO","Reservado",LEFT(VLOOKUP($A201,COMPRADORES!$A:$D,2,FALSE),3)&amp;"***"&amp;IF(TRIM(MID(VLOOKUP($A201,COMPRADORES!$A:$D,2,FALSE)&amp;" ",FIND(" ",VLOOKUP($A201,COMPRADORES!$A:$D,2,FALSE)&amp;" ")+1,99))="",""," "&amp;LEFT(TRIM(MID(VLOOKUP($A201,COMPRADORES!$A:$D,2,FALSE)&amp;" ",FIND(" ",VLOOKUP($A201,COMPRADORES!$A:$D,2,FALSE)&amp;" ")+1,99)),1)&amp;".")),""))</f>
        <v/>
      </c>
      <c r="F201" s="16">
        <f>IF($B201="PAGADO",MID("ABCDEFGHIJ",INT(VALUE($A201)/100)+1,1)&amp;"-"&amp;$A201,"")</f>
        <v/>
      </c>
      <c r="G201" s="16">
        <f>IF($B201="PAGADO","PAGADO",IF($B201="APARTADO",IF(NOT(ISNUMBER($C201)),"APARTADO",IF($C201&lt;1,"APARTADO",IF(NOW()-$C201&gt;1,"LIBRE","APARTADO"))),"LIBRE"))</f>
        <v/>
      </c>
      <c r="H201" s="15">
        <f>IF($G201&lt;&gt;"APARTADO","",IF(NOT(ISNUMBER($C201)),"FALTA LA HORA",IF($C201&lt;1,"FALTA LA FECHA",TEXT($C201+1,"dd/mm hh:mm"))))</f>
        <v/>
      </c>
    </row>
    <row r="202">
      <c r="A202" s="13" t="inlineStr">
        <is>
          <t>200</t>
        </is>
      </c>
      <c r="B202" t="inlineStr">
        <is>
          <t>LIBRE</t>
        </is>
      </c>
      <c r="C202" s="14" t="n"/>
      <c r="E202" s="15">
        <f>IF($G202&lt;&gt;"PAGADO","",IFERROR(IF(VLOOKUP($A202,COMPRADORES!$A:$D,4,FALSE)="NO","Reservado",LEFT(VLOOKUP($A202,COMPRADORES!$A:$D,2,FALSE),3)&amp;"***"&amp;IF(TRIM(MID(VLOOKUP($A202,COMPRADORES!$A:$D,2,FALSE)&amp;" ",FIND(" ",VLOOKUP($A202,COMPRADORES!$A:$D,2,FALSE)&amp;" ")+1,99))="",""," "&amp;LEFT(TRIM(MID(VLOOKUP($A202,COMPRADORES!$A:$D,2,FALSE)&amp;" ",FIND(" ",VLOOKUP($A202,COMPRADORES!$A:$D,2,FALSE)&amp;" ")+1,99)),1)&amp;".")),""))</f>
        <v/>
      </c>
      <c r="F202" s="16">
        <f>IF($B202="PAGADO",MID("ABCDEFGHIJ",INT(VALUE($A202)/100)+1,1)&amp;"-"&amp;$A202,"")</f>
        <v/>
      </c>
      <c r="G202" s="16">
        <f>IF($B202="PAGADO","PAGADO",IF($B202="APARTADO",IF(NOT(ISNUMBER($C202)),"APARTADO",IF($C202&lt;1,"APARTADO",IF(NOW()-$C202&gt;1,"LIBRE","APARTADO"))),"LIBRE"))</f>
        <v/>
      </c>
      <c r="H202" s="15">
        <f>IF($G202&lt;&gt;"APARTADO","",IF(NOT(ISNUMBER($C202)),"FALTA LA HORA",IF($C202&lt;1,"FALTA LA FECHA",TEXT($C202+1,"dd/mm hh:mm"))))</f>
        <v/>
      </c>
    </row>
    <row r="203">
      <c r="A203" s="13" t="inlineStr">
        <is>
          <t>201</t>
        </is>
      </c>
      <c r="B203" t="inlineStr">
        <is>
          <t>LIBRE</t>
        </is>
      </c>
      <c r="C203" s="14" t="n"/>
      <c r="E203" s="15">
        <f>IF($G203&lt;&gt;"PAGADO","",IFERROR(IF(VLOOKUP($A203,COMPRADORES!$A:$D,4,FALSE)="NO","Reservado",LEFT(VLOOKUP($A203,COMPRADORES!$A:$D,2,FALSE),3)&amp;"***"&amp;IF(TRIM(MID(VLOOKUP($A203,COMPRADORES!$A:$D,2,FALSE)&amp;" ",FIND(" ",VLOOKUP($A203,COMPRADORES!$A:$D,2,FALSE)&amp;" ")+1,99))="",""," "&amp;LEFT(TRIM(MID(VLOOKUP($A203,COMPRADORES!$A:$D,2,FALSE)&amp;" ",FIND(" ",VLOOKUP($A203,COMPRADORES!$A:$D,2,FALSE)&amp;" ")+1,99)),1)&amp;".")),""))</f>
        <v/>
      </c>
      <c r="F203" s="16">
        <f>IF($B203="PAGADO",MID("ABCDEFGHIJ",INT(VALUE($A203)/100)+1,1)&amp;"-"&amp;$A203,"")</f>
        <v/>
      </c>
      <c r="G203" s="16">
        <f>IF($B203="PAGADO","PAGADO",IF($B203="APARTADO",IF(NOT(ISNUMBER($C203)),"APARTADO",IF($C203&lt;1,"APARTADO",IF(NOW()-$C203&gt;1,"LIBRE","APARTADO"))),"LIBRE"))</f>
        <v/>
      </c>
      <c r="H203" s="15">
        <f>IF($G203&lt;&gt;"APARTADO","",IF(NOT(ISNUMBER($C203)),"FALTA LA HORA",IF($C203&lt;1,"FALTA LA FECHA",TEXT($C203+1,"dd/mm hh:mm"))))</f>
        <v/>
      </c>
    </row>
    <row r="204">
      <c r="A204" s="13" t="inlineStr">
        <is>
          <t>202</t>
        </is>
      </c>
      <c r="B204" t="inlineStr">
        <is>
          <t>LIBRE</t>
        </is>
      </c>
      <c r="C204" s="14" t="n"/>
      <c r="E204" s="15">
        <f>IF($G204&lt;&gt;"PAGADO","",IFERROR(IF(VLOOKUP($A204,COMPRADORES!$A:$D,4,FALSE)="NO","Reservado",LEFT(VLOOKUP($A204,COMPRADORES!$A:$D,2,FALSE),3)&amp;"***"&amp;IF(TRIM(MID(VLOOKUP($A204,COMPRADORES!$A:$D,2,FALSE)&amp;" ",FIND(" ",VLOOKUP($A204,COMPRADORES!$A:$D,2,FALSE)&amp;" ")+1,99))="",""," "&amp;LEFT(TRIM(MID(VLOOKUP($A204,COMPRADORES!$A:$D,2,FALSE)&amp;" ",FIND(" ",VLOOKUP($A204,COMPRADORES!$A:$D,2,FALSE)&amp;" ")+1,99)),1)&amp;".")),""))</f>
        <v/>
      </c>
      <c r="F204" s="16">
        <f>IF($B204="PAGADO",MID("ABCDEFGHIJ",INT(VALUE($A204)/100)+1,1)&amp;"-"&amp;$A204,"")</f>
        <v/>
      </c>
      <c r="G204" s="16">
        <f>IF($B204="PAGADO","PAGADO",IF($B204="APARTADO",IF(NOT(ISNUMBER($C204)),"APARTADO",IF($C204&lt;1,"APARTADO",IF(NOW()-$C204&gt;1,"LIBRE","APARTADO"))),"LIBRE"))</f>
        <v/>
      </c>
      <c r="H204" s="15">
        <f>IF($G204&lt;&gt;"APARTADO","",IF(NOT(ISNUMBER($C204)),"FALTA LA HORA",IF($C204&lt;1,"FALTA LA FECHA",TEXT($C204+1,"dd/mm hh:mm"))))</f>
        <v/>
      </c>
    </row>
    <row r="205">
      <c r="A205" s="13" t="inlineStr">
        <is>
          <t>203</t>
        </is>
      </c>
      <c r="B205" t="inlineStr">
        <is>
          <t>LIBRE</t>
        </is>
      </c>
      <c r="C205" s="14" t="n"/>
      <c r="E205" s="15">
        <f>IF($G205&lt;&gt;"PAGADO","",IFERROR(IF(VLOOKUP($A205,COMPRADORES!$A:$D,4,FALSE)="NO","Reservado",LEFT(VLOOKUP($A205,COMPRADORES!$A:$D,2,FALSE),3)&amp;"***"&amp;IF(TRIM(MID(VLOOKUP($A205,COMPRADORES!$A:$D,2,FALSE)&amp;" ",FIND(" ",VLOOKUP($A205,COMPRADORES!$A:$D,2,FALSE)&amp;" ")+1,99))="",""," "&amp;LEFT(TRIM(MID(VLOOKUP($A205,COMPRADORES!$A:$D,2,FALSE)&amp;" ",FIND(" ",VLOOKUP($A205,COMPRADORES!$A:$D,2,FALSE)&amp;" ")+1,99)),1)&amp;".")),""))</f>
        <v/>
      </c>
      <c r="F205" s="16">
        <f>IF($B205="PAGADO",MID("ABCDEFGHIJ",INT(VALUE($A205)/100)+1,1)&amp;"-"&amp;$A205,"")</f>
        <v/>
      </c>
      <c r="G205" s="16">
        <f>IF($B205="PAGADO","PAGADO",IF($B205="APARTADO",IF(NOT(ISNUMBER($C205)),"APARTADO",IF($C205&lt;1,"APARTADO",IF(NOW()-$C205&gt;1,"LIBRE","APARTADO"))),"LIBRE"))</f>
        <v/>
      </c>
      <c r="H205" s="15">
        <f>IF($G205&lt;&gt;"APARTADO","",IF(NOT(ISNUMBER($C205)),"FALTA LA HORA",IF($C205&lt;1,"FALTA LA FECHA",TEXT($C205+1,"dd/mm hh:mm"))))</f>
        <v/>
      </c>
    </row>
    <row r="206">
      <c r="A206" s="13" t="inlineStr">
        <is>
          <t>204</t>
        </is>
      </c>
      <c r="B206" t="inlineStr">
        <is>
          <t>LIBRE</t>
        </is>
      </c>
      <c r="C206" s="14" t="n"/>
      <c r="E206" s="15">
        <f>IF($G206&lt;&gt;"PAGADO","",IFERROR(IF(VLOOKUP($A206,COMPRADORES!$A:$D,4,FALSE)="NO","Reservado",LEFT(VLOOKUP($A206,COMPRADORES!$A:$D,2,FALSE),3)&amp;"***"&amp;IF(TRIM(MID(VLOOKUP($A206,COMPRADORES!$A:$D,2,FALSE)&amp;" ",FIND(" ",VLOOKUP($A206,COMPRADORES!$A:$D,2,FALSE)&amp;" ")+1,99))="",""," "&amp;LEFT(TRIM(MID(VLOOKUP($A206,COMPRADORES!$A:$D,2,FALSE)&amp;" ",FIND(" ",VLOOKUP($A206,COMPRADORES!$A:$D,2,FALSE)&amp;" ")+1,99)),1)&amp;".")),""))</f>
        <v/>
      </c>
      <c r="F206" s="16">
        <f>IF($B206="PAGADO",MID("ABCDEFGHIJ",INT(VALUE($A206)/100)+1,1)&amp;"-"&amp;$A206,"")</f>
        <v/>
      </c>
      <c r="G206" s="16">
        <f>IF($B206="PAGADO","PAGADO",IF($B206="APARTADO",IF(NOT(ISNUMBER($C206)),"APARTADO",IF($C206&lt;1,"APARTADO",IF(NOW()-$C206&gt;1,"LIBRE","APARTADO"))),"LIBRE"))</f>
        <v/>
      </c>
      <c r="H206" s="15">
        <f>IF($G206&lt;&gt;"APARTADO","",IF(NOT(ISNUMBER($C206)),"FALTA LA HORA",IF($C206&lt;1,"FALTA LA FECHA",TEXT($C206+1,"dd/mm hh:mm"))))</f>
        <v/>
      </c>
    </row>
    <row r="207">
      <c r="A207" s="13" t="inlineStr">
        <is>
          <t>205</t>
        </is>
      </c>
      <c r="B207" t="inlineStr">
        <is>
          <t>LIBRE</t>
        </is>
      </c>
      <c r="C207" s="14" t="n"/>
      <c r="E207" s="15">
        <f>IF($G207&lt;&gt;"PAGADO","",IFERROR(IF(VLOOKUP($A207,COMPRADORES!$A:$D,4,FALSE)="NO","Reservado",LEFT(VLOOKUP($A207,COMPRADORES!$A:$D,2,FALSE),3)&amp;"***"&amp;IF(TRIM(MID(VLOOKUP($A207,COMPRADORES!$A:$D,2,FALSE)&amp;" ",FIND(" ",VLOOKUP($A207,COMPRADORES!$A:$D,2,FALSE)&amp;" ")+1,99))="",""," "&amp;LEFT(TRIM(MID(VLOOKUP($A207,COMPRADORES!$A:$D,2,FALSE)&amp;" ",FIND(" ",VLOOKUP($A207,COMPRADORES!$A:$D,2,FALSE)&amp;" ")+1,99)),1)&amp;".")),""))</f>
        <v/>
      </c>
      <c r="F207" s="16">
        <f>IF($B207="PAGADO",MID("ABCDEFGHIJ",INT(VALUE($A207)/100)+1,1)&amp;"-"&amp;$A207,"")</f>
        <v/>
      </c>
      <c r="G207" s="16">
        <f>IF($B207="PAGADO","PAGADO",IF($B207="APARTADO",IF(NOT(ISNUMBER($C207)),"APARTADO",IF($C207&lt;1,"APARTADO",IF(NOW()-$C207&gt;1,"LIBRE","APARTADO"))),"LIBRE"))</f>
        <v/>
      </c>
      <c r="H207" s="15">
        <f>IF($G207&lt;&gt;"APARTADO","",IF(NOT(ISNUMBER($C207)),"FALTA LA HORA",IF($C207&lt;1,"FALTA LA FECHA",TEXT($C207+1,"dd/mm hh:mm"))))</f>
        <v/>
      </c>
    </row>
    <row r="208">
      <c r="A208" s="13" t="inlineStr">
        <is>
          <t>206</t>
        </is>
      </c>
      <c r="B208" t="inlineStr">
        <is>
          <t>LIBRE</t>
        </is>
      </c>
      <c r="C208" s="14" t="n"/>
      <c r="E208" s="15">
        <f>IF($G208&lt;&gt;"PAGADO","",IFERROR(IF(VLOOKUP($A208,COMPRADORES!$A:$D,4,FALSE)="NO","Reservado",LEFT(VLOOKUP($A208,COMPRADORES!$A:$D,2,FALSE),3)&amp;"***"&amp;IF(TRIM(MID(VLOOKUP($A208,COMPRADORES!$A:$D,2,FALSE)&amp;" ",FIND(" ",VLOOKUP($A208,COMPRADORES!$A:$D,2,FALSE)&amp;" ")+1,99))="",""," "&amp;LEFT(TRIM(MID(VLOOKUP($A208,COMPRADORES!$A:$D,2,FALSE)&amp;" ",FIND(" ",VLOOKUP($A208,COMPRADORES!$A:$D,2,FALSE)&amp;" ")+1,99)),1)&amp;".")),""))</f>
        <v/>
      </c>
      <c r="F208" s="16">
        <f>IF($B208="PAGADO",MID("ABCDEFGHIJ",INT(VALUE($A208)/100)+1,1)&amp;"-"&amp;$A208,"")</f>
        <v/>
      </c>
      <c r="G208" s="16">
        <f>IF($B208="PAGADO","PAGADO",IF($B208="APARTADO",IF(NOT(ISNUMBER($C208)),"APARTADO",IF($C208&lt;1,"APARTADO",IF(NOW()-$C208&gt;1,"LIBRE","APARTADO"))),"LIBRE"))</f>
        <v/>
      </c>
      <c r="H208" s="15">
        <f>IF($G208&lt;&gt;"APARTADO","",IF(NOT(ISNUMBER($C208)),"FALTA LA HORA",IF($C208&lt;1,"FALTA LA FECHA",TEXT($C208+1,"dd/mm hh:mm"))))</f>
        <v/>
      </c>
    </row>
    <row r="209">
      <c r="A209" s="13" t="inlineStr">
        <is>
          <t>207</t>
        </is>
      </c>
      <c r="B209" t="inlineStr">
        <is>
          <t>LIBRE</t>
        </is>
      </c>
      <c r="C209" s="14" t="n"/>
      <c r="E209" s="15">
        <f>IF($G209&lt;&gt;"PAGADO","",IFERROR(IF(VLOOKUP($A209,COMPRADORES!$A:$D,4,FALSE)="NO","Reservado",LEFT(VLOOKUP($A209,COMPRADORES!$A:$D,2,FALSE),3)&amp;"***"&amp;IF(TRIM(MID(VLOOKUP($A209,COMPRADORES!$A:$D,2,FALSE)&amp;" ",FIND(" ",VLOOKUP($A209,COMPRADORES!$A:$D,2,FALSE)&amp;" ")+1,99))="",""," "&amp;LEFT(TRIM(MID(VLOOKUP($A209,COMPRADORES!$A:$D,2,FALSE)&amp;" ",FIND(" ",VLOOKUP($A209,COMPRADORES!$A:$D,2,FALSE)&amp;" ")+1,99)),1)&amp;".")),""))</f>
        <v/>
      </c>
      <c r="F209" s="16">
        <f>IF($B209="PAGADO",MID("ABCDEFGHIJ",INT(VALUE($A209)/100)+1,1)&amp;"-"&amp;$A209,"")</f>
        <v/>
      </c>
      <c r="G209" s="16">
        <f>IF($B209="PAGADO","PAGADO",IF($B209="APARTADO",IF(NOT(ISNUMBER($C209)),"APARTADO",IF($C209&lt;1,"APARTADO",IF(NOW()-$C209&gt;1,"LIBRE","APARTADO"))),"LIBRE"))</f>
        <v/>
      </c>
      <c r="H209" s="15">
        <f>IF($G209&lt;&gt;"APARTADO","",IF(NOT(ISNUMBER($C209)),"FALTA LA HORA",IF($C209&lt;1,"FALTA LA FECHA",TEXT($C209+1,"dd/mm hh:mm"))))</f>
        <v/>
      </c>
    </row>
    <row r="210">
      <c r="A210" s="13" t="inlineStr">
        <is>
          <t>208</t>
        </is>
      </c>
      <c r="B210" t="inlineStr">
        <is>
          <t>LIBRE</t>
        </is>
      </c>
      <c r="C210" s="14" t="n"/>
      <c r="E210" s="15">
        <f>IF($G210&lt;&gt;"PAGADO","",IFERROR(IF(VLOOKUP($A210,COMPRADORES!$A:$D,4,FALSE)="NO","Reservado",LEFT(VLOOKUP($A210,COMPRADORES!$A:$D,2,FALSE),3)&amp;"***"&amp;IF(TRIM(MID(VLOOKUP($A210,COMPRADORES!$A:$D,2,FALSE)&amp;" ",FIND(" ",VLOOKUP($A210,COMPRADORES!$A:$D,2,FALSE)&amp;" ")+1,99))="",""," "&amp;LEFT(TRIM(MID(VLOOKUP($A210,COMPRADORES!$A:$D,2,FALSE)&amp;" ",FIND(" ",VLOOKUP($A210,COMPRADORES!$A:$D,2,FALSE)&amp;" ")+1,99)),1)&amp;".")),""))</f>
        <v/>
      </c>
      <c r="F210" s="16">
        <f>IF($B210="PAGADO",MID("ABCDEFGHIJ",INT(VALUE($A210)/100)+1,1)&amp;"-"&amp;$A210,"")</f>
        <v/>
      </c>
      <c r="G210" s="16">
        <f>IF($B210="PAGADO","PAGADO",IF($B210="APARTADO",IF(NOT(ISNUMBER($C210)),"APARTADO",IF($C210&lt;1,"APARTADO",IF(NOW()-$C210&gt;1,"LIBRE","APARTADO"))),"LIBRE"))</f>
        <v/>
      </c>
      <c r="H210" s="15">
        <f>IF($G210&lt;&gt;"APARTADO","",IF(NOT(ISNUMBER($C210)),"FALTA LA HORA",IF($C210&lt;1,"FALTA LA FECHA",TEXT($C210+1,"dd/mm hh:mm"))))</f>
        <v/>
      </c>
    </row>
    <row r="211">
      <c r="A211" s="13" t="inlineStr">
        <is>
          <t>209</t>
        </is>
      </c>
      <c r="B211" t="inlineStr">
        <is>
          <t>LIBRE</t>
        </is>
      </c>
      <c r="C211" s="14" t="n"/>
      <c r="E211" s="15">
        <f>IF($G211&lt;&gt;"PAGADO","",IFERROR(IF(VLOOKUP($A211,COMPRADORES!$A:$D,4,FALSE)="NO","Reservado",LEFT(VLOOKUP($A211,COMPRADORES!$A:$D,2,FALSE),3)&amp;"***"&amp;IF(TRIM(MID(VLOOKUP($A211,COMPRADORES!$A:$D,2,FALSE)&amp;" ",FIND(" ",VLOOKUP($A211,COMPRADORES!$A:$D,2,FALSE)&amp;" ")+1,99))="",""," "&amp;LEFT(TRIM(MID(VLOOKUP($A211,COMPRADORES!$A:$D,2,FALSE)&amp;" ",FIND(" ",VLOOKUP($A211,COMPRADORES!$A:$D,2,FALSE)&amp;" ")+1,99)),1)&amp;".")),""))</f>
        <v/>
      </c>
      <c r="F211" s="16">
        <f>IF($B211="PAGADO",MID("ABCDEFGHIJ",INT(VALUE($A211)/100)+1,1)&amp;"-"&amp;$A211,"")</f>
        <v/>
      </c>
      <c r="G211" s="16">
        <f>IF($B211="PAGADO","PAGADO",IF($B211="APARTADO",IF(NOT(ISNUMBER($C211)),"APARTADO",IF($C211&lt;1,"APARTADO",IF(NOW()-$C211&gt;1,"LIBRE","APARTADO"))),"LIBRE"))</f>
        <v/>
      </c>
      <c r="H211" s="15">
        <f>IF($G211&lt;&gt;"APARTADO","",IF(NOT(ISNUMBER($C211)),"FALTA LA HORA",IF($C211&lt;1,"FALTA LA FECHA",TEXT($C211+1,"dd/mm hh:mm"))))</f>
        <v/>
      </c>
    </row>
    <row r="212">
      <c r="A212" s="13" t="inlineStr">
        <is>
          <t>210</t>
        </is>
      </c>
      <c r="B212" t="inlineStr">
        <is>
          <t>LIBRE</t>
        </is>
      </c>
      <c r="C212" s="14" t="n"/>
      <c r="E212" s="15">
        <f>IF($G212&lt;&gt;"PAGADO","",IFERROR(IF(VLOOKUP($A212,COMPRADORES!$A:$D,4,FALSE)="NO","Reservado",LEFT(VLOOKUP($A212,COMPRADORES!$A:$D,2,FALSE),3)&amp;"***"&amp;IF(TRIM(MID(VLOOKUP($A212,COMPRADORES!$A:$D,2,FALSE)&amp;" ",FIND(" ",VLOOKUP($A212,COMPRADORES!$A:$D,2,FALSE)&amp;" ")+1,99))="",""," "&amp;LEFT(TRIM(MID(VLOOKUP($A212,COMPRADORES!$A:$D,2,FALSE)&amp;" ",FIND(" ",VLOOKUP($A212,COMPRADORES!$A:$D,2,FALSE)&amp;" ")+1,99)),1)&amp;".")),""))</f>
        <v/>
      </c>
      <c r="F212" s="16">
        <f>IF($B212="PAGADO",MID("ABCDEFGHIJ",INT(VALUE($A212)/100)+1,1)&amp;"-"&amp;$A212,"")</f>
        <v/>
      </c>
      <c r="G212" s="16">
        <f>IF($B212="PAGADO","PAGADO",IF($B212="APARTADO",IF(NOT(ISNUMBER($C212)),"APARTADO",IF($C212&lt;1,"APARTADO",IF(NOW()-$C212&gt;1,"LIBRE","APARTADO"))),"LIBRE"))</f>
        <v/>
      </c>
      <c r="H212" s="15">
        <f>IF($G212&lt;&gt;"APARTADO","",IF(NOT(ISNUMBER($C212)),"FALTA LA HORA",IF($C212&lt;1,"FALTA LA FECHA",TEXT($C212+1,"dd/mm hh:mm"))))</f>
        <v/>
      </c>
    </row>
    <row r="213">
      <c r="A213" s="13" t="inlineStr">
        <is>
          <t>211</t>
        </is>
      </c>
      <c r="B213" t="inlineStr">
        <is>
          <t>LIBRE</t>
        </is>
      </c>
      <c r="C213" s="14" t="n"/>
      <c r="E213" s="15">
        <f>IF($G213&lt;&gt;"PAGADO","",IFERROR(IF(VLOOKUP($A213,COMPRADORES!$A:$D,4,FALSE)="NO","Reservado",LEFT(VLOOKUP($A213,COMPRADORES!$A:$D,2,FALSE),3)&amp;"***"&amp;IF(TRIM(MID(VLOOKUP($A213,COMPRADORES!$A:$D,2,FALSE)&amp;" ",FIND(" ",VLOOKUP($A213,COMPRADORES!$A:$D,2,FALSE)&amp;" ")+1,99))="",""," "&amp;LEFT(TRIM(MID(VLOOKUP($A213,COMPRADORES!$A:$D,2,FALSE)&amp;" ",FIND(" ",VLOOKUP($A213,COMPRADORES!$A:$D,2,FALSE)&amp;" ")+1,99)),1)&amp;".")),""))</f>
        <v/>
      </c>
      <c r="F213" s="16">
        <f>IF($B213="PAGADO",MID("ABCDEFGHIJ",INT(VALUE($A213)/100)+1,1)&amp;"-"&amp;$A213,"")</f>
        <v/>
      </c>
      <c r="G213" s="16">
        <f>IF($B213="PAGADO","PAGADO",IF($B213="APARTADO",IF(NOT(ISNUMBER($C213)),"APARTADO",IF($C213&lt;1,"APARTADO",IF(NOW()-$C213&gt;1,"LIBRE","APARTADO"))),"LIBRE"))</f>
        <v/>
      </c>
      <c r="H213" s="15">
        <f>IF($G213&lt;&gt;"APARTADO","",IF(NOT(ISNUMBER($C213)),"FALTA LA HORA",IF($C213&lt;1,"FALTA LA FECHA",TEXT($C213+1,"dd/mm hh:mm"))))</f>
        <v/>
      </c>
    </row>
    <row r="214">
      <c r="A214" s="13" t="inlineStr">
        <is>
          <t>212</t>
        </is>
      </c>
      <c r="B214" t="inlineStr">
        <is>
          <t>LIBRE</t>
        </is>
      </c>
      <c r="C214" s="14" t="n"/>
      <c r="E214" s="15">
        <f>IF($G214&lt;&gt;"PAGADO","",IFERROR(IF(VLOOKUP($A214,COMPRADORES!$A:$D,4,FALSE)="NO","Reservado",LEFT(VLOOKUP($A214,COMPRADORES!$A:$D,2,FALSE),3)&amp;"***"&amp;IF(TRIM(MID(VLOOKUP($A214,COMPRADORES!$A:$D,2,FALSE)&amp;" ",FIND(" ",VLOOKUP($A214,COMPRADORES!$A:$D,2,FALSE)&amp;" ")+1,99))="",""," "&amp;LEFT(TRIM(MID(VLOOKUP($A214,COMPRADORES!$A:$D,2,FALSE)&amp;" ",FIND(" ",VLOOKUP($A214,COMPRADORES!$A:$D,2,FALSE)&amp;" ")+1,99)),1)&amp;".")),""))</f>
        <v/>
      </c>
      <c r="F214" s="16">
        <f>IF($B214="PAGADO",MID("ABCDEFGHIJ",INT(VALUE($A214)/100)+1,1)&amp;"-"&amp;$A214,"")</f>
        <v/>
      </c>
      <c r="G214" s="16">
        <f>IF($B214="PAGADO","PAGADO",IF($B214="APARTADO",IF(NOT(ISNUMBER($C214)),"APARTADO",IF($C214&lt;1,"APARTADO",IF(NOW()-$C214&gt;1,"LIBRE","APARTADO"))),"LIBRE"))</f>
        <v/>
      </c>
      <c r="H214" s="15">
        <f>IF($G214&lt;&gt;"APARTADO","",IF(NOT(ISNUMBER($C214)),"FALTA LA HORA",IF($C214&lt;1,"FALTA LA FECHA",TEXT($C214+1,"dd/mm hh:mm"))))</f>
        <v/>
      </c>
    </row>
    <row r="215">
      <c r="A215" s="13" t="inlineStr">
        <is>
          <t>213</t>
        </is>
      </c>
      <c r="B215" t="inlineStr">
        <is>
          <t>LIBRE</t>
        </is>
      </c>
      <c r="C215" s="14" t="n"/>
      <c r="E215" s="15">
        <f>IF($G215&lt;&gt;"PAGADO","",IFERROR(IF(VLOOKUP($A215,COMPRADORES!$A:$D,4,FALSE)="NO","Reservado",LEFT(VLOOKUP($A215,COMPRADORES!$A:$D,2,FALSE),3)&amp;"***"&amp;IF(TRIM(MID(VLOOKUP($A215,COMPRADORES!$A:$D,2,FALSE)&amp;" ",FIND(" ",VLOOKUP($A215,COMPRADORES!$A:$D,2,FALSE)&amp;" ")+1,99))="",""," "&amp;LEFT(TRIM(MID(VLOOKUP($A215,COMPRADORES!$A:$D,2,FALSE)&amp;" ",FIND(" ",VLOOKUP($A215,COMPRADORES!$A:$D,2,FALSE)&amp;" ")+1,99)),1)&amp;".")),""))</f>
        <v/>
      </c>
      <c r="F215" s="16">
        <f>IF($B215="PAGADO",MID("ABCDEFGHIJ",INT(VALUE($A215)/100)+1,1)&amp;"-"&amp;$A215,"")</f>
        <v/>
      </c>
      <c r="G215" s="16">
        <f>IF($B215="PAGADO","PAGADO",IF($B215="APARTADO",IF(NOT(ISNUMBER($C215)),"APARTADO",IF($C215&lt;1,"APARTADO",IF(NOW()-$C215&gt;1,"LIBRE","APARTADO"))),"LIBRE"))</f>
        <v/>
      </c>
      <c r="H215" s="15">
        <f>IF($G215&lt;&gt;"APARTADO","",IF(NOT(ISNUMBER($C215)),"FALTA LA HORA",IF($C215&lt;1,"FALTA LA FECHA",TEXT($C215+1,"dd/mm hh:mm"))))</f>
        <v/>
      </c>
    </row>
    <row r="216">
      <c r="A216" s="13" t="inlineStr">
        <is>
          <t>214</t>
        </is>
      </c>
      <c r="B216" t="inlineStr">
        <is>
          <t>LIBRE</t>
        </is>
      </c>
      <c r="C216" s="14" t="n"/>
      <c r="E216" s="15">
        <f>IF($G216&lt;&gt;"PAGADO","",IFERROR(IF(VLOOKUP($A216,COMPRADORES!$A:$D,4,FALSE)="NO","Reservado",LEFT(VLOOKUP($A216,COMPRADORES!$A:$D,2,FALSE),3)&amp;"***"&amp;IF(TRIM(MID(VLOOKUP($A216,COMPRADORES!$A:$D,2,FALSE)&amp;" ",FIND(" ",VLOOKUP($A216,COMPRADORES!$A:$D,2,FALSE)&amp;" ")+1,99))="",""," "&amp;LEFT(TRIM(MID(VLOOKUP($A216,COMPRADORES!$A:$D,2,FALSE)&amp;" ",FIND(" ",VLOOKUP($A216,COMPRADORES!$A:$D,2,FALSE)&amp;" ")+1,99)),1)&amp;".")),""))</f>
        <v/>
      </c>
      <c r="F216" s="16">
        <f>IF($B216="PAGADO",MID("ABCDEFGHIJ",INT(VALUE($A216)/100)+1,1)&amp;"-"&amp;$A216,"")</f>
        <v/>
      </c>
      <c r="G216" s="16">
        <f>IF($B216="PAGADO","PAGADO",IF($B216="APARTADO",IF(NOT(ISNUMBER($C216)),"APARTADO",IF($C216&lt;1,"APARTADO",IF(NOW()-$C216&gt;1,"LIBRE","APARTADO"))),"LIBRE"))</f>
        <v/>
      </c>
      <c r="H216" s="15">
        <f>IF($G216&lt;&gt;"APARTADO","",IF(NOT(ISNUMBER($C216)),"FALTA LA HORA",IF($C216&lt;1,"FALTA LA FECHA",TEXT($C216+1,"dd/mm hh:mm"))))</f>
        <v/>
      </c>
    </row>
    <row r="217">
      <c r="A217" s="13" t="inlineStr">
        <is>
          <t>215</t>
        </is>
      </c>
      <c r="B217" t="inlineStr">
        <is>
          <t>LIBRE</t>
        </is>
      </c>
      <c r="C217" s="14" t="n"/>
      <c r="E217" s="15">
        <f>IF($G217&lt;&gt;"PAGADO","",IFERROR(IF(VLOOKUP($A217,COMPRADORES!$A:$D,4,FALSE)="NO","Reservado",LEFT(VLOOKUP($A217,COMPRADORES!$A:$D,2,FALSE),3)&amp;"***"&amp;IF(TRIM(MID(VLOOKUP($A217,COMPRADORES!$A:$D,2,FALSE)&amp;" ",FIND(" ",VLOOKUP($A217,COMPRADORES!$A:$D,2,FALSE)&amp;" ")+1,99))="",""," "&amp;LEFT(TRIM(MID(VLOOKUP($A217,COMPRADORES!$A:$D,2,FALSE)&amp;" ",FIND(" ",VLOOKUP($A217,COMPRADORES!$A:$D,2,FALSE)&amp;" ")+1,99)),1)&amp;".")),""))</f>
        <v/>
      </c>
      <c r="F217" s="16">
        <f>IF($B217="PAGADO",MID("ABCDEFGHIJ",INT(VALUE($A217)/100)+1,1)&amp;"-"&amp;$A217,"")</f>
        <v/>
      </c>
      <c r="G217" s="16">
        <f>IF($B217="PAGADO","PAGADO",IF($B217="APARTADO",IF(NOT(ISNUMBER($C217)),"APARTADO",IF($C217&lt;1,"APARTADO",IF(NOW()-$C217&gt;1,"LIBRE","APARTADO"))),"LIBRE"))</f>
        <v/>
      </c>
      <c r="H217" s="15">
        <f>IF($G217&lt;&gt;"APARTADO","",IF(NOT(ISNUMBER($C217)),"FALTA LA HORA",IF($C217&lt;1,"FALTA LA FECHA",TEXT($C217+1,"dd/mm hh:mm"))))</f>
        <v/>
      </c>
    </row>
    <row r="218">
      <c r="A218" s="13" t="inlineStr">
        <is>
          <t>216</t>
        </is>
      </c>
      <c r="B218" t="inlineStr">
        <is>
          <t>LIBRE</t>
        </is>
      </c>
      <c r="C218" s="14" t="n"/>
      <c r="E218" s="15">
        <f>IF($G218&lt;&gt;"PAGADO","",IFERROR(IF(VLOOKUP($A218,COMPRADORES!$A:$D,4,FALSE)="NO","Reservado",LEFT(VLOOKUP($A218,COMPRADORES!$A:$D,2,FALSE),3)&amp;"***"&amp;IF(TRIM(MID(VLOOKUP($A218,COMPRADORES!$A:$D,2,FALSE)&amp;" ",FIND(" ",VLOOKUP($A218,COMPRADORES!$A:$D,2,FALSE)&amp;" ")+1,99))="",""," "&amp;LEFT(TRIM(MID(VLOOKUP($A218,COMPRADORES!$A:$D,2,FALSE)&amp;" ",FIND(" ",VLOOKUP($A218,COMPRADORES!$A:$D,2,FALSE)&amp;" ")+1,99)),1)&amp;".")),""))</f>
        <v/>
      </c>
      <c r="F218" s="16">
        <f>IF($B218="PAGADO",MID("ABCDEFGHIJ",INT(VALUE($A218)/100)+1,1)&amp;"-"&amp;$A218,"")</f>
        <v/>
      </c>
      <c r="G218" s="16">
        <f>IF($B218="PAGADO","PAGADO",IF($B218="APARTADO",IF(NOT(ISNUMBER($C218)),"APARTADO",IF($C218&lt;1,"APARTADO",IF(NOW()-$C218&gt;1,"LIBRE","APARTADO"))),"LIBRE"))</f>
        <v/>
      </c>
      <c r="H218" s="15">
        <f>IF($G218&lt;&gt;"APARTADO","",IF(NOT(ISNUMBER($C218)),"FALTA LA HORA",IF($C218&lt;1,"FALTA LA FECHA",TEXT($C218+1,"dd/mm hh:mm"))))</f>
        <v/>
      </c>
    </row>
    <row r="219">
      <c r="A219" s="13" t="inlineStr">
        <is>
          <t>217</t>
        </is>
      </c>
      <c r="B219" t="inlineStr">
        <is>
          <t>LIBRE</t>
        </is>
      </c>
      <c r="C219" s="14" t="n"/>
      <c r="E219" s="15">
        <f>IF($G219&lt;&gt;"PAGADO","",IFERROR(IF(VLOOKUP($A219,COMPRADORES!$A:$D,4,FALSE)="NO","Reservado",LEFT(VLOOKUP($A219,COMPRADORES!$A:$D,2,FALSE),3)&amp;"***"&amp;IF(TRIM(MID(VLOOKUP($A219,COMPRADORES!$A:$D,2,FALSE)&amp;" ",FIND(" ",VLOOKUP($A219,COMPRADORES!$A:$D,2,FALSE)&amp;" ")+1,99))="",""," "&amp;LEFT(TRIM(MID(VLOOKUP($A219,COMPRADORES!$A:$D,2,FALSE)&amp;" ",FIND(" ",VLOOKUP($A219,COMPRADORES!$A:$D,2,FALSE)&amp;" ")+1,99)),1)&amp;".")),""))</f>
        <v/>
      </c>
      <c r="F219" s="16">
        <f>IF($B219="PAGADO",MID("ABCDEFGHIJ",INT(VALUE($A219)/100)+1,1)&amp;"-"&amp;$A219,"")</f>
        <v/>
      </c>
      <c r="G219" s="16">
        <f>IF($B219="PAGADO","PAGADO",IF($B219="APARTADO",IF(NOT(ISNUMBER($C219)),"APARTADO",IF($C219&lt;1,"APARTADO",IF(NOW()-$C219&gt;1,"LIBRE","APARTADO"))),"LIBRE"))</f>
        <v/>
      </c>
      <c r="H219" s="15">
        <f>IF($G219&lt;&gt;"APARTADO","",IF(NOT(ISNUMBER($C219)),"FALTA LA HORA",IF($C219&lt;1,"FALTA LA FECHA",TEXT($C219+1,"dd/mm hh:mm"))))</f>
        <v/>
      </c>
    </row>
    <row r="220">
      <c r="A220" s="13" t="inlineStr">
        <is>
          <t>218</t>
        </is>
      </c>
      <c r="B220" t="inlineStr">
        <is>
          <t>LIBRE</t>
        </is>
      </c>
      <c r="C220" s="14" t="n"/>
      <c r="E220" s="15">
        <f>IF($G220&lt;&gt;"PAGADO","",IFERROR(IF(VLOOKUP($A220,COMPRADORES!$A:$D,4,FALSE)="NO","Reservado",LEFT(VLOOKUP($A220,COMPRADORES!$A:$D,2,FALSE),3)&amp;"***"&amp;IF(TRIM(MID(VLOOKUP($A220,COMPRADORES!$A:$D,2,FALSE)&amp;" ",FIND(" ",VLOOKUP($A220,COMPRADORES!$A:$D,2,FALSE)&amp;" ")+1,99))="",""," "&amp;LEFT(TRIM(MID(VLOOKUP($A220,COMPRADORES!$A:$D,2,FALSE)&amp;" ",FIND(" ",VLOOKUP($A220,COMPRADORES!$A:$D,2,FALSE)&amp;" ")+1,99)),1)&amp;".")),""))</f>
        <v/>
      </c>
      <c r="F220" s="16">
        <f>IF($B220="PAGADO",MID("ABCDEFGHIJ",INT(VALUE($A220)/100)+1,1)&amp;"-"&amp;$A220,"")</f>
        <v/>
      </c>
      <c r="G220" s="16">
        <f>IF($B220="PAGADO","PAGADO",IF($B220="APARTADO",IF(NOT(ISNUMBER($C220)),"APARTADO",IF($C220&lt;1,"APARTADO",IF(NOW()-$C220&gt;1,"LIBRE","APARTADO"))),"LIBRE"))</f>
        <v/>
      </c>
      <c r="H220" s="15">
        <f>IF($G220&lt;&gt;"APARTADO","",IF(NOT(ISNUMBER($C220)),"FALTA LA HORA",IF($C220&lt;1,"FALTA LA FECHA",TEXT($C220+1,"dd/mm hh:mm"))))</f>
        <v/>
      </c>
    </row>
    <row r="221">
      <c r="A221" s="13" t="inlineStr">
        <is>
          <t>219</t>
        </is>
      </c>
      <c r="B221" t="inlineStr">
        <is>
          <t>LIBRE</t>
        </is>
      </c>
      <c r="C221" s="14" t="n"/>
      <c r="E221" s="15">
        <f>IF($G221&lt;&gt;"PAGADO","",IFERROR(IF(VLOOKUP($A221,COMPRADORES!$A:$D,4,FALSE)="NO","Reservado",LEFT(VLOOKUP($A221,COMPRADORES!$A:$D,2,FALSE),3)&amp;"***"&amp;IF(TRIM(MID(VLOOKUP($A221,COMPRADORES!$A:$D,2,FALSE)&amp;" ",FIND(" ",VLOOKUP($A221,COMPRADORES!$A:$D,2,FALSE)&amp;" ")+1,99))="",""," "&amp;LEFT(TRIM(MID(VLOOKUP($A221,COMPRADORES!$A:$D,2,FALSE)&amp;" ",FIND(" ",VLOOKUP($A221,COMPRADORES!$A:$D,2,FALSE)&amp;" ")+1,99)),1)&amp;".")),""))</f>
        <v/>
      </c>
      <c r="F221" s="16">
        <f>IF($B221="PAGADO",MID("ABCDEFGHIJ",INT(VALUE($A221)/100)+1,1)&amp;"-"&amp;$A221,"")</f>
        <v/>
      </c>
      <c r="G221" s="16">
        <f>IF($B221="PAGADO","PAGADO",IF($B221="APARTADO",IF(NOT(ISNUMBER($C221)),"APARTADO",IF($C221&lt;1,"APARTADO",IF(NOW()-$C221&gt;1,"LIBRE","APARTADO"))),"LIBRE"))</f>
        <v/>
      </c>
      <c r="H221" s="15">
        <f>IF($G221&lt;&gt;"APARTADO","",IF(NOT(ISNUMBER($C221)),"FALTA LA HORA",IF($C221&lt;1,"FALTA LA FECHA",TEXT($C221+1,"dd/mm hh:mm"))))</f>
        <v/>
      </c>
    </row>
    <row r="222">
      <c r="A222" s="13" t="inlineStr">
        <is>
          <t>220</t>
        </is>
      </c>
      <c r="B222" t="inlineStr">
        <is>
          <t>LIBRE</t>
        </is>
      </c>
      <c r="C222" s="14" t="n"/>
      <c r="E222" s="15">
        <f>IF($G222&lt;&gt;"PAGADO","",IFERROR(IF(VLOOKUP($A222,COMPRADORES!$A:$D,4,FALSE)="NO","Reservado",LEFT(VLOOKUP($A222,COMPRADORES!$A:$D,2,FALSE),3)&amp;"***"&amp;IF(TRIM(MID(VLOOKUP($A222,COMPRADORES!$A:$D,2,FALSE)&amp;" ",FIND(" ",VLOOKUP($A222,COMPRADORES!$A:$D,2,FALSE)&amp;" ")+1,99))="",""," "&amp;LEFT(TRIM(MID(VLOOKUP($A222,COMPRADORES!$A:$D,2,FALSE)&amp;" ",FIND(" ",VLOOKUP($A222,COMPRADORES!$A:$D,2,FALSE)&amp;" ")+1,99)),1)&amp;".")),""))</f>
        <v/>
      </c>
      <c r="F222" s="16">
        <f>IF($B222="PAGADO",MID("ABCDEFGHIJ",INT(VALUE($A222)/100)+1,1)&amp;"-"&amp;$A222,"")</f>
        <v/>
      </c>
      <c r="G222" s="16">
        <f>IF($B222="PAGADO","PAGADO",IF($B222="APARTADO",IF(NOT(ISNUMBER($C222)),"APARTADO",IF($C222&lt;1,"APARTADO",IF(NOW()-$C222&gt;1,"LIBRE","APARTADO"))),"LIBRE"))</f>
        <v/>
      </c>
      <c r="H222" s="15">
        <f>IF($G222&lt;&gt;"APARTADO","",IF(NOT(ISNUMBER($C222)),"FALTA LA HORA",IF($C222&lt;1,"FALTA LA FECHA",TEXT($C222+1,"dd/mm hh:mm"))))</f>
        <v/>
      </c>
    </row>
    <row r="223">
      <c r="A223" s="13" t="inlineStr">
        <is>
          <t>221</t>
        </is>
      </c>
      <c r="B223" t="inlineStr">
        <is>
          <t>LIBRE</t>
        </is>
      </c>
      <c r="C223" s="14" t="n"/>
      <c r="E223" s="15">
        <f>IF($G223&lt;&gt;"PAGADO","",IFERROR(IF(VLOOKUP($A223,COMPRADORES!$A:$D,4,FALSE)="NO","Reservado",LEFT(VLOOKUP($A223,COMPRADORES!$A:$D,2,FALSE),3)&amp;"***"&amp;IF(TRIM(MID(VLOOKUP($A223,COMPRADORES!$A:$D,2,FALSE)&amp;" ",FIND(" ",VLOOKUP($A223,COMPRADORES!$A:$D,2,FALSE)&amp;" ")+1,99))="",""," "&amp;LEFT(TRIM(MID(VLOOKUP($A223,COMPRADORES!$A:$D,2,FALSE)&amp;" ",FIND(" ",VLOOKUP($A223,COMPRADORES!$A:$D,2,FALSE)&amp;" ")+1,99)),1)&amp;".")),""))</f>
        <v/>
      </c>
      <c r="F223" s="16">
        <f>IF($B223="PAGADO",MID("ABCDEFGHIJ",INT(VALUE($A223)/100)+1,1)&amp;"-"&amp;$A223,"")</f>
        <v/>
      </c>
      <c r="G223" s="16">
        <f>IF($B223="PAGADO","PAGADO",IF($B223="APARTADO",IF(NOT(ISNUMBER($C223)),"APARTADO",IF($C223&lt;1,"APARTADO",IF(NOW()-$C223&gt;1,"LIBRE","APARTADO"))),"LIBRE"))</f>
        <v/>
      </c>
      <c r="H223" s="15">
        <f>IF($G223&lt;&gt;"APARTADO","",IF(NOT(ISNUMBER($C223)),"FALTA LA HORA",IF($C223&lt;1,"FALTA LA FECHA",TEXT($C223+1,"dd/mm hh:mm"))))</f>
        <v/>
      </c>
    </row>
    <row r="224">
      <c r="A224" s="13" t="inlineStr">
        <is>
          <t>222</t>
        </is>
      </c>
      <c r="B224" t="inlineStr">
        <is>
          <t>LIBRE</t>
        </is>
      </c>
      <c r="C224" s="14" t="n"/>
      <c r="E224" s="15">
        <f>IF($G224&lt;&gt;"PAGADO","",IFERROR(IF(VLOOKUP($A224,COMPRADORES!$A:$D,4,FALSE)="NO","Reservado",LEFT(VLOOKUP($A224,COMPRADORES!$A:$D,2,FALSE),3)&amp;"***"&amp;IF(TRIM(MID(VLOOKUP($A224,COMPRADORES!$A:$D,2,FALSE)&amp;" ",FIND(" ",VLOOKUP($A224,COMPRADORES!$A:$D,2,FALSE)&amp;" ")+1,99))="",""," "&amp;LEFT(TRIM(MID(VLOOKUP($A224,COMPRADORES!$A:$D,2,FALSE)&amp;" ",FIND(" ",VLOOKUP($A224,COMPRADORES!$A:$D,2,FALSE)&amp;" ")+1,99)),1)&amp;".")),""))</f>
        <v/>
      </c>
      <c r="F224" s="16">
        <f>IF($B224="PAGADO",MID("ABCDEFGHIJ",INT(VALUE($A224)/100)+1,1)&amp;"-"&amp;$A224,"")</f>
        <v/>
      </c>
      <c r="G224" s="16">
        <f>IF($B224="PAGADO","PAGADO",IF($B224="APARTADO",IF(NOT(ISNUMBER($C224)),"APARTADO",IF($C224&lt;1,"APARTADO",IF(NOW()-$C224&gt;1,"LIBRE","APARTADO"))),"LIBRE"))</f>
        <v/>
      </c>
      <c r="H224" s="15">
        <f>IF($G224&lt;&gt;"APARTADO","",IF(NOT(ISNUMBER($C224)),"FALTA LA HORA",IF($C224&lt;1,"FALTA LA FECHA",TEXT($C224+1,"dd/mm hh:mm"))))</f>
        <v/>
      </c>
    </row>
    <row r="225">
      <c r="A225" s="13" t="inlineStr">
        <is>
          <t>223</t>
        </is>
      </c>
      <c r="B225" t="inlineStr">
        <is>
          <t>LIBRE</t>
        </is>
      </c>
      <c r="C225" s="14" t="n"/>
      <c r="E225" s="15">
        <f>IF($G225&lt;&gt;"PAGADO","",IFERROR(IF(VLOOKUP($A225,COMPRADORES!$A:$D,4,FALSE)="NO","Reservado",LEFT(VLOOKUP($A225,COMPRADORES!$A:$D,2,FALSE),3)&amp;"***"&amp;IF(TRIM(MID(VLOOKUP($A225,COMPRADORES!$A:$D,2,FALSE)&amp;" ",FIND(" ",VLOOKUP($A225,COMPRADORES!$A:$D,2,FALSE)&amp;" ")+1,99))="",""," "&amp;LEFT(TRIM(MID(VLOOKUP($A225,COMPRADORES!$A:$D,2,FALSE)&amp;" ",FIND(" ",VLOOKUP($A225,COMPRADORES!$A:$D,2,FALSE)&amp;" ")+1,99)),1)&amp;".")),""))</f>
        <v/>
      </c>
      <c r="F225" s="16">
        <f>IF($B225="PAGADO",MID("ABCDEFGHIJ",INT(VALUE($A225)/100)+1,1)&amp;"-"&amp;$A225,"")</f>
        <v/>
      </c>
      <c r="G225" s="16">
        <f>IF($B225="PAGADO","PAGADO",IF($B225="APARTADO",IF(NOT(ISNUMBER($C225)),"APARTADO",IF($C225&lt;1,"APARTADO",IF(NOW()-$C225&gt;1,"LIBRE","APARTADO"))),"LIBRE"))</f>
        <v/>
      </c>
      <c r="H225" s="15">
        <f>IF($G225&lt;&gt;"APARTADO","",IF(NOT(ISNUMBER($C225)),"FALTA LA HORA",IF($C225&lt;1,"FALTA LA FECHA",TEXT($C225+1,"dd/mm hh:mm"))))</f>
        <v/>
      </c>
    </row>
    <row r="226">
      <c r="A226" s="13" t="inlineStr">
        <is>
          <t>224</t>
        </is>
      </c>
      <c r="B226" t="inlineStr">
        <is>
          <t>LIBRE</t>
        </is>
      </c>
      <c r="C226" s="14" t="n"/>
      <c r="E226" s="15">
        <f>IF($G226&lt;&gt;"PAGADO","",IFERROR(IF(VLOOKUP($A226,COMPRADORES!$A:$D,4,FALSE)="NO","Reservado",LEFT(VLOOKUP($A226,COMPRADORES!$A:$D,2,FALSE),3)&amp;"***"&amp;IF(TRIM(MID(VLOOKUP($A226,COMPRADORES!$A:$D,2,FALSE)&amp;" ",FIND(" ",VLOOKUP($A226,COMPRADORES!$A:$D,2,FALSE)&amp;" ")+1,99))="",""," "&amp;LEFT(TRIM(MID(VLOOKUP($A226,COMPRADORES!$A:$D,2,FALSE)&amp;" ",FIND(" ",VLOOKUP($A226,COMPRADORES!$A:$D,2,FALSE)&amp;" ")+1,99)),1)&amp;".")),""))</f>
        <v/>
      </c>
      <c r="F226" s="16">
        <f>IF($B226="PAGADO",MID("ABCDEFGHIJ",INT(VALUE($A226)/100)+1,1)&amp;"-"&amp;$A226,"")</f>
        <v/>
      </c>
      <c r="G226" s="16">
        <f>IF($B226="PAGADO","PAGADO",IF($B226="APARTADO",IF(NOT(ISNUMBER($C226)),"APARTADO",IF($C226&lt;1,"APARTADO",IF(NOW()-$C226&gt;1,"LIBRE","APARTADO"))),"LIBRE"))</f>
        <v/>
      </c>
      <c r="H226" s="15">
        <f>IF($G226&lt;&gt;"APARTADO","",IF(NOT(ISNUMBER($C226)),"FALTA LA HORA",IF($C226&lt;1,"FALTA LA FECHA",TEXT($C226+1,"dd/mm hh:mm"))))</f>
        <v/>
      </c>
    </row>
    <row r="227">
      <c r="A227" s="13" t="inlineStr">
        <is>
          <t>225</t>
        </is>
      </c>
      <c r="B227" t="inlineStr">
        <is>
          <t>LIBRE</t>
        </is>
      </c>
      <c r="C227" s="14" t="n"/>
      <c r="E227" s="15">
        <f>IF($G227&lt;&gt;"PAGADO","",IFERROR(IF(VLOOKUP($A227,COMPRADORES!$A:$D,4,FALSE)="NO","Reservado",LEFT(VLOOKUP($A227,COMPRADORES!$A:$D,2,FALSE),3)&amp;"***"&amp;IF(TRIM(MID(VLOOKUP($A227,COMPRADORES!$A:$D,2,FALSE)&amp;" ",FIND(" ",VLOOKUP($A227,COMPRADORES!$A:$D,2,FALSE)&amp;" ")+1,99))="",""," "&amp;LEFT(TRIM(MID(VLOOKUP($A227,COMPRADORES!$A:$D,2,FALSE)&amp;" ",FIND(" ",VLOOKUP($A227,COMPRADORES!$A:$D,2,FALSE)&amp;" ")+1,99)),1)&amp;".")),""))</f>
        <v/>
      </c>
      <c r="F227" s="16">
        <f>IF($B227="PAGADO",MID("ABCDEFGHIJ",INT(VALUE($A227)/100)+1,1)&amp;"-"&amp;$A227,"")</f>
        <v/>
      </c>
      <c r="G227" s="16">
        <f>IF($B227="PAGADO","PAGADO",IF($B227="APARTADO",IF(NOT(ISNUMBER($C227)),"APARTADO",IF($C227&lt;1,"APARTADO",IF(NOW()-$C227&gt;1,"LIBRE","APARTADO"))),"LIBRE"))</f>
        <v/>
      </c>
      <c r="H227" s="15">
        <f>IF($G227&lt;&gt;"APARTADO","",IF(NOT(ISNUMBER($C227)),"FALTA LA HORA",IF($C227&lt;1,"FALTA LA FECHA",TEXT($C227+1,"dd/mm hh:mm"))))</f>
        <v/>
      </c>
    </row>
    <row r="228">
      <c r="A228" s="13" t="inlineStr">
        <is>
          <t>226</t>
        </is>
      </c>
      <c r="B228" t="inlineStr">
        <is>
          <t>LIBRE</t>
        </is>
      </c>
      <c r="C228" s="14" t="n"/>
      <c r="E228" s="15">
        <f>IF($G228&lt;&gt;"PAGADO","",IFERROR(IF(VLOOKUP($A228,COMPRADORES!$A:$D,4,FALSE)="NO","Reservado",LEFT(VLOOKUP($A228,COMPRADORES!$A:$D,2,FALSE),3)&amp;"***"&amp;IF(TRIM(MID(VLOOKUP($A228,COMPRADORES!$A:$D,2,FALSE)&amp;" ",FIND(" ",VLOOKUP($A228,COMPRADORES!$A:$D,2,FALSE)&amp;" ")+1,99))="",""," "&amp;LEFT(TRIM(MID(VLOOKUP($A228,COMPRADORES!$A:$D,2,FALSE)&amp;" ",FIND(" ",VLOOKUP($A228,COMPRADORES!$A:$D,2,FALSE)&amp;" ")+1,99)),1)&amp;".")),""))</f>
        <v/>
      </c>
      <c r="F228" s="16">
        <f>IF($B228="PAGADO",MID("ABCDEFGHIJ",INT(VALUE($A228)/100)+1,1)&amp;"-"&amp;$A228,"")</f>
        <v/>
      </c>
      <c r="G228" s="16">
        <f>IF($B228="PAGADO","PAGADO",IF($B228="APARTADO",IF(NOT(ISNUMBER($C228)),"APARTADO",IF($C228&lt;1,"APARTADO",IF(NOW()-$C228&gt;1,"LIBRE","APARTADO"))),"LIBRE"))</f>
        <v/>
      </c>
      <c r="H228" s="15">
        <f>IF($G228&lt;&gt;"APARTADO","",IF(NOT(ISNUMBER($C228)),"FALTA LA HORA",IF($C228&lt;1,"FALTA LA FECHA",TEXT($C228+1,"dd/mm hh:mm"))))</f>
        <v/>
      </c>
    </row>
    <row r="229">
      <c r="A229" s="13" t="inlineStr">
        <is>
          <t>227</t>
        </is>
      </c>
      <c r="B229" t="inlineStr">
        <is>
          <t>LIBRE</t>
        </is>
      </c>
      <c r="C229" s="14" t="n"/>
      <c r="E229" s="15">
        <f>IF($G229&lt;&gt;"PAGADO","",IFERROR(IF(VLOOKUP($A229,COMPRADORES!$A:$D,4,FALSE)="NO","Reservado",LEFT(VLOOKUP($A229,COMPRADORES!$A:$D,2,FALSE),3)&amp;"***"&amp;IF(TRIM(MID(VLOOKUP($A229,COMPRADORES!$A:$D,2,FALSE)&amp;" ",FIND(" ",VLOOKUP($A229,COMPRADORES!$A:$D,2,FALSE)&amp;" ")+1,99))="",""," "&amp;LEFT(TRIM(MID(VLOOKUP($A229,COMPRADORES!$A:$D,2,FALSE)&amp;" ",FIND(" ",VLOOKUP($A229,COMPRADORES!$A:$D,2,FALSE)&amp;" ")+1,99)),1)&amp;".")),""))</f>
        <v/>
      </c>
      <c r="F229" s="16">
        <f>IF($B229="PAGADO",MID("ABCDEFGHIJ",INT(VALUE($A229)/100)+1,1)&amp;"-"&amp;$A229,"")</f>
        <v/>
      </c>
      <c r="G229" s="16">
        <f>IF($B229="PAGADO","PAGADO",IF($B229="APARTADO",IF(NOT(ISNUMBER($C229)),"APARTADO",IF($C229&lt;1,"APARTADO",IF(NOW()-$C229&gt;1,"LIBRE","APARTADO"))),"LIBRE"))</f>
        <v/>
      </c>
      <c r="H229" s="15">
        <f>IF($G229&lt;&gt;"APARTADO","",IF(NOT(ISNUMBER($C229)),"FALTA LA HORA",IF($C229&lt;1,"FALTA LA FECHA",TEXT($C229+1,"dd/mm hh:mm"))))</f>
        <v/>
      </c>
    </row>
    <row r="230">
      <c r="A230" s="13" t="inlineStr">
        <is>
          <t>228</t>
        </is>
      </c>
      <c r="B230" t="inlineStr">
        <is>
          <t>LIBRE</t>
        </is>
      </c>
      <c r="C230" s="14" t="n"/>
      <c r="E230" s="15">
        <f>IF($G230&lt;&gt;"PAGADO","",IFERROR(IF(VLOOKUP($A230,COMPRADORES!$A:$D,4,FALSE)="NO","Reservado",LEFT(VLOOKUP($A230,COMPRADORES!$A:$D,2,FALSE),3)&amp;"***"&amp;IF(TRIM(MID(VLOOKUP($A230,COMPRADORES!$A:$D,2,FALSE)&amp;" ",FIND(" ",VLOOKUP($A230,COMPRADORES!$A:$D,2,FALSE)&amp;" ")+1,99))="",""," "&amp;LEFT(TRIM(MID(VLOOKUP($A230,COMPRADORES!$A:$D,2,FALSE)&amp;" ",FIND(" ",VLOOKUP($A230,COMPRADORES!$A:$D,2,FALSE)&amp;" ")+1,99)),1)&amp;".")),""))</f>
        <v/>
      </c>
      <c r="F230" s="16">
        <f>IF($B230="PAGADO",MID("ABCDEFGHIJ",INT(VALUE($A230)/100)+1,1)&amp;"-"&amp;$A230,"")</f>
        <v/>
      </c>
      <c r="G230" s="16">
        <f>IF($B230="PAGADO","PAGADO",IF($B230="APARTADO",IF(NOT(ISNUMBER($C230)),"APARTADO",IF($C230&lt;1,"APARTADO",IF(NOW()-$C230&gt;1,"LIBRE","APARTADO"))),"LIBRE"))</f>
        <v/>
      </c>
      <c r="H230" s="15">
        <f>IF($G230&lt;&gt;"APARTADO","",IF(NOT(ISNUMBER($C230)),"FALTA LA HORA",IF($C230&lt;1,"FALTA LA FECHA",TEXT($C230+1,"dd/mm hh:mm"))))</f>
        <v/>
      </c>
    </row>
    <row r="231">
      <c r="A231" s="13" t="inlineStr">
        <is>
          <t>229</t>
        </is>
      </c>
      <c r="B231" t="inlineStr">
        <is>
          <t>LIBRE</t>
        </is>
      </c>
      <c r="C231" s="14" t="n"/>
      <c r="E231" s="15">
        <f>IF($G231&lt;&gt;"PAGADO","",IFERROR(IF(VLOOKUP($A231,COMPRADORES!$A:$D,4,FALSE)="NO","Reservado",LEFT(VLOOKUP($A231,COMPRADORES!$A:$D,2,FALSE),3)&amp;"***"&amp;IF(TRIM(MID(VLOOKUP($A231,COMPRADORES!$A:$D,2,FALSE)&amp;" ",FIND(" ",VLOOKUP($A231,COMPRADORES!$A:$D,2,FALSE)&amp;" ")+1,99))="",""," "&amp;LEFT(TRIM(MID(VLOOKUP($A231,COMPRADORES!$A:$D,2,FALSE)&amp;" ",FIND(" ",VLOOKUP($A231,COMPRADORES!$A:$D,2,FALSE)&amp;" ")+1,99)),1)&amp;".")),""))</f>
        <v/>
      </c>
      <c r="F231" s="16">
        <f>IF($B231="PAGADO",MID("ABCDEFGHIJ",INT(VALUE($A231)/100)+1,1)&amp;"-"&amp;$A231,"")</f>
        <v/>
      </c>
      <c r="G231" s="16">
        <f>IF($B231="PAGADO","PAGADO",IF($B231="APARTADO",IF(NOT(ISNUMBER($C231)),"APARTADO",IF($C231&lt;1,"APARTADO",IF(NOW()-$C231&gt;1,"LIBRE","APARTADO"))),"LIBRE"))</f>
        <v/>
      </c>
      <c r="H231" s="15">
        <f>IF($G231&lt;&gt;"APARTADO","",IF(NOT(ISNUMBER($C231)),"FALTA LA HORA",IF($C231&lt;1,"FALTA LA FECHA",TEXT($C231+1,"dd/mm hh:mm"))))</f>
        <v/>
      </c>
    </row>
    <row r="232">
      <c r="A232" s="13" t="inlineStr">
        <is>
          <t>230</t>
        </is>
      </c>
      <c r="B232" t="inlineStr">
        <is>
          <t>LIBRE</t>
        </is>
      </c>
      <c r="C232" s="14" t="n"/>
      <c r="E232" s="15">
        <f>IF($G232&lt;&gt;"PAGADO","",IFERROR(IF(VLOOKUP($A232,COMPRADORES!$A:$D,4,FALSE)="NO","Reservado",LEFT(VLOOKUP($A232,COMPRADORES!$A:$D,2,FALSE),3)&amp;"***"&amp;IF(TRIM(MID(VLOOKUP($A232,COMPRADORES!$A:$D,2,FALSE)&amp;" ",FIND(" ",VLOOKUP($A232,COMPRADORES!$A:$D,2,FALSE)&amp;" ")+1,99))="",""," "&amp;LEFT(TRIM(MID(VLOOKUP($A232,COMPRADORES!$A:$D,2,FALSE)&amp;" ",FIND(" ",VLOOKUP($A232,COMPRADORES!$A:$D,2,FALSE)&amp;" ")+1,99)),1)&amp;".")),""))</f>
        <v/>
      </c>
      <c r="F232" s="16">
        <f>IF($B232="PAGADO",MID("ABCDEFGHIJ",INT(VALUE($A232)/100)+1,1)&amp;"-"&amp;$A232,"")</f>
        <v/>
      </c>
      <c r="G232" s="16">
        <f>IF($B232="PAGADO","PAGADO",IF($B232="APARTADO",IF(NOT(ISNUMBER($C232)),"APARTADO",IF($C232&lt;1,"APARTADO",IF(NOW()-$C232&gt;1,"LIBRE","APARTADO"))),"LIBRE"))</f>
        <v/>
      </c>
      <c r="H232" s="15">
        <f>IF($G232&lt;&gt;"APARTADO","",IF(NOT(ISNUMBER($C232)),"FALTA LA HORA",IF($C232&lt;1,"FALTA LA FECHA",TEXT($C232+1,"dd/mm hh:mm"))))</f>
        <v/>
      </c>
    </row>
    <row r="233">
      <c r="A233" s="13" t="inlineStr">
        <is>
          <t>231</t>
        </is>
      </c>
      <c r="B233" t="inlineStr">
        <is>
          <t>LIBRE</t>
        </is>
      </c>
      <c r="C233" s="14" t="n"/>
      <c r="E233" s="15">
        <f>IF($G233&lt;&gt;"PAGADO","",IFERROR(IF(VLOOKUP($A233,COMPRADORES!$A:$D,4,FALSE)="NO","Reservado",LEFT(VLOOKUP($A233,COMPRADORES!$A:$D,2,FALSE),3)&amp;"***"&amp;IF(TRIM(MID(VLOOKUP($A233,COMPRADORES!$A:$D,2,FALSE)&amp;" ",FIND(" ",VLOOKUP($A233,COMPRADORES!$A:$D,2,FALSE)&amp;" ")+1,99))="",""," "&amp;LEFT(TRIM(MID(VLOOKUP($A233,COMPRADORES!$A:$D,2,FALSE)&amp;" ",FIND(" ",VLOOKUP($A233,COMPRADORES!$A:$D,2,FALSE)&amp;" ")+1,99)),1)&amp;".")),""))</f>
        <v/>
      </c>
      <c r="F233" s="16">
        <f>IF($B233="PAGADO",MID("ABCDEFGHIJ",INT(VALUE($A233)/100)+1,1)&amp;"-"&amp;$A233,"")</f>
        <v/>
      </c>
      <c r="G233" s="16">
        <f>IF($B233="PAGADO","PAGADO",IF($B233="APARTADO",IF(NOT(ISNUMBER($C233)),"APARTADO",IF($C233&lt;1,"APARTADO",IF(NOW()-$C233&gt;1,"LIBRE","APARTADO"))),"LIBRE"))</f>
        <v/>
      </c>
      <c r="H233" s="15">
        <f>IF($G233&lt;&gt;"APARTADO","",IF(NOT(ISNUMBER($C233)),"FALTA LA HORA",IF($C233&lt;1,"FALTA LA FECHA",TEXT($C233+1,"dd/mm hh:mm"))))</f>
        <v/>
      </c>
    </row>
    <row r="234">
      <c r="A234" s="13" t="inlineStr">
        <is>
          <t>232</t>
        </is>
      </c>
      <c r="B234" t="inlineStr">
        <is>
          <t>LIBRE</t>
        </is>
      </c>
      <c r="C234" s="14" t="n"/>
      <c r="E234" s="15">
        <f>IF($G234&lt;&gt;"PAGADO","",IFERROR(IF(VLOOKUP($A234,COMPRADORES!$A:$D,4,FALSE)="NO","Reservado",LEFT(VLOOKUP($A234,COMPRADORES!$A:$D,2,FALSE),3)&amp;"***"&amp;IF(TRIM(MID(VLOOKUP($A234,COMPRADORES!$A:$D,2,FALSE)&amp;" ",FIND(" ",VLOOKUP($A234,COMPRADORES!$A:$D,2,FALSE)&amp;" ")+1,99))="",""," "&amp;LEFT(TRIM(MID(VLOOKUP($A234,COMPRADORES!$A:$D,2,FALSE)&amp;" ",FIND(" ",VLOOKUP($A234,COMPRADORES!$A:$D,2,FALSE)&amp;" ")+1,99)),1)&amp;".")),""))</f>
        <v/>
      </c>
      <c r="F234" s="16">
        <f>IF($B234="PAGADO",MID("ABCDEFGHIJ",INT(VALUE($A234)/100)+1,1)&amp;"-"&amp;$A234,"")</f>
        <v/>
      </c>
      <c r="G234" s="16">
        <f>IF($B234="PAGADO","PAGADO",IF($B234="APARTADO",IF(NOT(ISNUMBER($C234)),"APARTADO",IF($C234&lt;1,"APARTADO",IF(NOW()-$C234&gt;1,"LIBRE","APARTADO"))),"LIBRE"))</f>
        <v/>
      </c>
      <c r="H234" s="15">
        <f>IF($G234&lt;&gt;"APARTADO","",IF(NOT(ISNUMBER($C234)),"FALTA LA HORA",IF($C234&lt;1,"FALTA LA FECHA",TEXT($C234+1,"dd/mm hh:mm"))))</f>
        <v/>
      </c>
    </row>
    <row r="235">
      <c r="A235" s="13" t="inlineStr">
        <is>
          <t>233</t>
        </is>
      </c>
      <c r="B235" t="inlineStr">
        <is>
          <t>LIBRE</t>
        </is>
      </c>
      <c r="C235" s="14" t="n"/>
      <c r="E235" s="15">
        <f>IF($G235&lt;&gt;"PAGADO","",IFERROR(IF(VLOOKUP($A235,COMPRADORES!$A:$D,4,FALSE)="NO","Reservado",LEFT(VLOOKUP($A235,COMPRADORES!$A:$D,2,FALSE),3)&amp;"***"&amp;IF(TRIM(MID(VLOOKUP($A235,COMPRADORES!$A:$D,2,FALSE)&amp;" ",FIND(" ",VLOOKUP($A235,COMPRADORES!$A:$D,2,FALSE)&amp;" ")+1,99))="",""," "&amp;LEFT(TRIM(MID(VLOOKUP($A235,COMPRADORES!$A:$D,2,FALSE)&amp;" ",FIND(" ",VLOOKUP($A235,COMPRADORES!$A:$D,2,FALSE)&amp;" ")+1,99)),1)&amp;".")),""))</f>
        <v/>
      </c>
      <c r="F235" s="16">
        <f>IF($B235="PAGADO",MID("ABCDEFGHIJ",INT(VALUE($A235)/100)+1,1)&amp;"-"&amp;$A235,"")</f>
        <v/>
      </c>
      <c r="G235" s="16">
        <f>IF($B235="PAGADO","PAGADO",IF($B235="APARTADO",IF(NOT(ISNUMBER($C235)),"APARTADO",IF($C235&lt;1,"APARTADO",IF(NOW()-$C235&gt;1,"LIBRE","APARTADO"))),"LIBRE"))</f>
        <v/>
      </c>
      <c r="H235" s="15">
        <f>IF($G235&lt;&gt;"APARTADO","",IF(NOT(ISNUMBER($C235)),"FALTA LA HORA",IF($C235&lt;1,"FALTA LA FECHA",TEXT($C235+1,"dd/mm hh:mm"))))</f>
        <v/>
      </c>
    </row>
    <row r="236">
      <c r="A236" s="13" t="inlineStr">
        <is>
          <t>234</t>
        </is>
      </c>
      <c r="B236" t="inlineStr">
        <is>
          <t>LIBRE</t>
        </is>
      </c>
      <c r="C236" s="14" t="n"/>
      <c r="E236" s="15">
        <f>IF($G236&lt;&gt;"PAGADO","",IFERROR(IF(VLOOKUP($A236,COMPRADORES!$A:$D,4,FALSE)="NO","Reservado",LEFT(VLOOKUP($A236,COMPRADORES!$A:$D,2,FALSE),3)&amp;"***"&amp;IF(TRIM(MID(VLOOKUP($A236,COMPRADORES!$A:$D,2,FALSE)&amp;" ",FIND(" ",VLOOKUP($A236,COMPRADORES!$A:$D,2,FALSE)&amp;" ")+1,99))="",""," "&amp;LEFT(TRIM(MID(VLOOKUP($A236,COMPRADORES!$A:$D,2,FALSE)&amp;" ",FIND(" ",VLOOKUP($A236,COMPRADORES!$A:$D,2,FALSE)&amp;" ")+1,99)),1)&amp;".")),""))</f>
        <v/>
      </c>
      <c r="F236" s="16">
        <f>IF($B236="PAGADO",MID("ABCDEFGHIJ",INT(VALUE($A236)/100)+1,1)&amp;"-"&amp;$A236,"")</f>
        <v/>
      </c>
      <c r="G236" s="16">
        <f>IF($B236="PAGADO","PAGADO",IF($B236="APARTADO",IF(NOT(ISNUMBER($C236)),"APARTADO",IF($C236&lt;1,"APARTADO",IF(NOW()-$C236&gt;1,"LIBRE","APARTADO"))),"LIBRE"))</f>
        <v/>
      </c>
      <c r="H236" s="15">
        <f>IF($G236&lt;&gt;"APARTADO","",IF(NOT(ISNUMBER($C236)),"FALTA LA HORA",IF($C236&lt;1,"FALTA LA FECHA",TEXT($C236+1,"dd/mm hh:mm"))))</f>
        <v/>
      </c>
    </row>
    <row r="237">
      <c r="A237" s="13" t="inlineStr">
        <is>
          <t>235</t>
        </is>
      </c>
      <c r="B237" t="inlineStr">
        <is>
          <t>LIBRE</t>
        </is>
      </c>
      <c r="C237" s="14" t="n"/>
      <c r="E237" s="15">
        <f>IF($G237&lt;&gt;"PAGADO","",IFERROR(IF(VLOOKUP($A237,COMPRADORES!$A:$D,4,FALSE)="NO","Reservado",LEFT(VLOOKUP($A237,COMPRADORES!$A:$D,2,FALSE),3)&amp;"***"&amp;IF(TRIM(MID(VLOOKUP($A237,COMPRADORES!$A:$D,2,FALSE)&amp;" ",FIND(" ",VLOOKUP($A237,COMPRADORES!$A:$D,2,FALSE)&amp;" ")+1,99))="",""," "&amp;LEFT(TRIM(MID(VLOOKUP($A237,COMPRADORES!$A:$D,2,FALSE)&amp;" ",FIND(" ",VLOOKUP($A237,COMPRADORES!$A:$D,2,FALSE)&amp;" ")+1,99)),1)&amp;".")),""))</f>
        <v/>
      </c>
      <c r="F237" s="16">
        <f>IF($B237="PAGADO",MID("ABCDEFGHIJ",INT(VALUE($A237)/100)+1,1)&amp;"-"&amp;$A237,"")</f>
        <v/>
      </c>
      <c r="G237" s="16">
        <f>IF($B237="PAGADO","PAGADO",IF($B237="APARTADO",IF(NOT(ISNUMBER($C237)),"APARTADO",IF($C237&lt;1,"APARTADO",IF(NOW()-$C237&gt;1,"LIBRE","APARTADO"))),"LIBRE"))</f>
        <v/>
      </c>
      <c r="H237" s="15">
        <f>IF($G237&lt;&gt;"APARTADO","",IF(NOT(ISNUMBER($C237)),"FALTA LA HORA",IF($C237&lt;1,"FALTA LA FECHA",TEXT($C237+1,"dd/mm hh:mm"))))</f>
        <v/>
      </c>
    </row>
    <row r="238">
      <c r="A238" s="13" t="inlineStr">
        <is>
          <t>236</t>
        </is>
      </c>
      <c r="B238" t="inlineStr">
        <is>
          <t>LIBRE</t>
        </is>
      </c>
      <c r="C238" s="14" t="n"/>
      <c r="E238" s="15">
        <f>IF($G238&lt;&gt;"PAGADO","",IFERROR(IF(VLOOKUP($A238,COMPRADORES!$A:$D,4,FALSE)="NO","Reservado",LEFT(VLOOKUP($A238,COMPRADORES!$A:$D,2,FALSE),3)&amp;"***"&amp;IF(TRIM(MID(VLOOKUP($A238,COMPRADORES!$A:$D,2,FALSE)&amp;" ",FIND(" ",VLOOKUP($A238,COMPRADORES!$A:$D,2,FALSE)&amp;" ")+1,99))="",""," "&amp;LEFT(TRIM(MID(VLOOKUP($A238,COMPRADORES!$A:$D,2,FALSE)&amp;" ",FIND(" ",VLOOKUP($A238,COMPRADORES!$A:$D,2,FALSE)&amp;" ")+1,99)),1)&amp;".")),""))</f>
        <v/>
      </c>
      <c r="F238" s="16">
        <f>IF($B238="PAGADO",MID("ABCDEFGHIJ",INT(VALUE($A238)/100)+1,1)&amp;"-"&amp;$A238,"")</f>
        <v/>
      </c>
      <c r="G238" s="16">
        <f>IF($B238="PAGADO","PAGADO",IF($B238="APARTADO",IF(NOT(ISNUMBER($C238)),"APARTADO",IF($C238&lt;1,"APARTADO",IF(NOW()-$C238&gt;1,"LIBRE","APARTADO"))),"LIBRE"))</f>
        <v/>
      </c>
      <c r="H238" s="15">
        <f>IF($G238&lt;&gt;"APARTADO","",IF(NOT(ISNUMBER($C238)),"FALTA LA HORA",IF($C238&lt;1,"FALTA LA FECHA",TEXT($C238+1,"dd/mm hh:mm"))))</f>
        <v/>
      </c>
    </row>
    <row r="239">
      <c r="A239" s="13" t="inlineStr">
        <is>
          <t>237</t>
        </is>
      </c>
      <c r="B239" t="inlineStr">
        <is>
          <t>LIBRE</t>
        </is>
      </c>
      <c r="C239" s="14" t="n"/>
      <c r="E239" s="15">
        <f>IF($G239&lt;&gt;"PAGADO","",IFERROR(IF(VLOOKUP($A239,COMPRADORES!$A:$D,4,FALSE)="NO","Reservado",LEFT(VLOOKUP($A239,COMPRADORES!$A:$D,2,FALSE),3)&amp;"***"&amp;IF(TRIM(MID(VLOOKUP($A239,COMPRADORES!$A:$D,2,FALSE)&amp;" ",FIND(" ",VLOOKUP($A239,COMPRADORES!$A:$D,2,FALSE)&amp;" ")+1,99))="",""," "&amp;LEFT(TRIM(MID(VLOOKUP($A239,COMPRADORES!$A:$D,2,FALSE)&amp;" ",FIND(" ",VLOOKUP($A239,COMPRADORES!$A:$D,2,FALSE)&amp;" ")+1,99)),1)&amp;".")),""))</f>
        <v/>
      </c>
      <c r="F239" s="16">
        <f>IF($B239="PAGADO",MID("ABCDEFGHIJ",INT(VALUE($A239)/100)+1,1)&amp;"-"&amp;$A239,"")</f>
        <v/>
      </c>
      <c r="G239" s="16">
        <f>IF($B239="PAGADO","PAGADO",IF($B239="APARTADO",IF(NOT(ISNUMBER($C239)),"APARTADO",IF($C239&lt;1,"APARTADO",IF(NOW()-$C239&gt;1,"LIBRE","APARTADO"))),"LIBRE"))</f>
        <v/>
      </c>
      <c r="H239" s="15">
        <f>IF($G239&lt;&gt;"APARTADO","",IF(NOT(ISNUMBER($C239)),"FALTA LA HORA",IF($C239&lt;1,"FALTA LA FECHA",TEXT($C239+1,"dd/mm hh:mm"))))</f>
        <v/>
      </c>
    </row>
    <row r="240">
      <c r="A240" s="13" t="inlineStr">
        <is>
          <t>238</t>
        </is>
      </c>
      <c r="B240" t="inlineStr">
        <is>
          <t>LIBRE</t>
        </is>
      </c>
      <c r="C240" s="14" t="n"/>
      <c r="E240" s="15">
        <f>IF($G240&lt;&gt;"PAGADO","",IFERROR(IF(VLOOKUP($A240,COMPRADORES!$A:$D,4,FALSE)="NO","Reservado",LEFT(VLOOKUP($A240,COMPRADORES!$A:$D,2,FALSE),3)&amp;"***"&amp;IF(TRIM(MID(VLOOKUP($A240,COMPRADORES!$A:$D,2,FALSE)&amp;" ",FIND(" ",VLOOKUP($A240,COMPRADORES!$A:$D,2,FALSE)&amp;" ")+1,99))="",""," "&amp;LEFT(TRIM(MID(VLOOKUP($A240,COMPRADORES!$A:$D,2,FALSE)&amp;" ",FIND(" ",VLOOKUP($A240,COMPRADORES!$A:$D,2,FALSE)&amp;" ")+1,99)),1)&amp;".")),""))</f>
        <v/>
      </c>
      <c r="F240" s="16">
        <f>IF($B240="PAGADO",MID("ABCDEFGHIJ",INT(VALUE($A240)/100)+1,1)&amp;"-"&amp;$A240,"")</f>
        <v/>
      </c>
      <c r="G240" s="16">
        <f>IF($B240="PAGADO","PAGADO",IF($B240="APARTADO",IF(NOT(ISNUMBER($C240)),"APARTADO",IF($C240&lt;1,"APARTADO",IF(NOW()-$C240&gt;1,"LIBRE","APARTADO"))),"LIBRE"))</f>
        <v/>
      </c>
      <c r="H240" s="15">
        <f>IF($G240&lt;&gt;"APARTADO","",IF(NOT(ISNUMBER($C240)),"FALTA LA HORA",IF($C240&lt;1,"FALTA LA FECHA",TEXT($C240+1,"dd/mm hh:mm"))))</f>
        <v/>
      </c>
    </row>
    <row r="241">
      <c r="A241" s="13" t="inlineStr">
        <is>
          <t>239</t>
        </is>
      </c>
      <c r="B241" t="inlineStr">
        <is>
          <t>LIBRE</t>
        </is>
      </c>
      <c r="C241" s="14" t="n"/>
      <c r="E241" s="15">
        <f>IF($G241&lt;&gt;"PAGADO","",IFERROR(IF(VLOOKUP($A241,COMPRADORES!$A:$D,4,FALSE)="NO","Reservado",LEFT(VLOOKUP($A241,COMPRADORES!$A:$D,2,FALSE),3)&amp;"***"&amp;IF(TRIM(MID(VLOOKUP($A241,COMPRADORES!$A:$D,2,FALSE)&amp;" ",FIND(" ",VLOOKUP($A241,COMPRADORES!$A:$D,2,FALSE)&amp;" ")+1,99))="",""," "&amp;LEFT(TRIM(MID(VLOOKUP($A241,COMPRADORES!$A:$D,2,FALSE)&amp;" ",FIND(" ",VLOOKUP($A241,COMPRADORES!$A:$D,2,FALSE)&amp;" ")+1,99)),1)&amp;".")),""))</f>
        <v/>
      </c>
      <c r="F241" s="16">
        <f>IF($B241="PAGADO",MID("ABCDEFGHIJ",INT(VALUE($A241)/100)+1,1)&amp;"-"&amp;$A241,"")</f>
        <v/>
      </c>
      <c r="G241" s="16">
        <f>IF($B241="PAGADO","PAGADO",IF($B241="APARTADO",IF(NOT(ISNUMBER($C241)),"APARTADO",IF($C241&lt;1,"APARTADO",IF(NOW()-$C241&gt;1,"LIBRE","APARTADO"))),"LIBRE"))</f>
        <v/>
      </c>
      <c r="H241" s="15">
        <f>IF($G241&lt;&gt;"APARTADO","",IF(NOT(ISNUMBER($C241)),"FALTA LA HORA",IF($C241&lt;1,"FALTA LA FECHA",TEXT($C241+1,"dd/mm hh:mm"))))</f>
        <v/>
      </c>
    </row>
    <row r="242">
      <c r="A242" s="13" t="inlineStr">
        <is>
          <t>240</t>
        </is>
      </c>
      <c r="B242" t="inlineStr">
        <is>
          <t>LIBRE</t>
        </is>
      </c>
      <c r="C242" s="14" t="n"/>
      <c r="E242" s="15">
        <f>IF($G242&lt;&gt;"PAGADO","",IFERROR(IF(VLOOKUP($A242,COMPRADORES!$A:$D,4,FALSE)="NO","Reservado",LEFT(VLOOKUP($A242,COMPRADORES!$A:$D,2,FALSE),3)&amp;"***"&amp;IF(TRIM(MID(VLOOKUP($A242,COMPRADORES!$A:$D,2,FALSE)&amp;" ",FIND(" ",VLOOKUP($A242,COMPRADORES!$A:$D,2,FALSE)&amp;" ")+1,99))="",""," "&amp;LEFT(TRIM(MID(VLOOKUP($A242,COMPRADORES!$A:$D,2,FALSE)&amp;" ",FIND(" ",VLOOKUP($A242,COMPRADORES!$A:$D,2,FALSE)&amp;" ")+1,99)),1)&amp;".")),""))</f>
        <v/>
      </c>
      <c r="F242" s="16">
        <f>IF($B242="PAGADO",MID("ABCDEFGHIJ",INT(VALUE($A242)/100)+1,1)&amp;"-"&amp;$A242,"")</f>
        <v/>
      </c>
      <c r="G242" s="16">
        <f>IF($B242="PAGADO","PAGADO",IF($B242="APARTADO",IF(NOT(ISNUMBER($C242)),"APARTADO",IF($C242&lt;1,"APARTADO",IF(NOW()-$C242&gt;1,"LIBRE","APARTADO"))),"LIBRE"))</f>
        <v/>
      </c>
      <c r="H242" s="15">
        <f>IF($G242&lt;&gt;"APARTADO","",IF(NOT(ISNUMBER($C242)),"FALTA LA HORA",IF($C242&lt;1,"FALTA LA FECHA",TEXT($C242+1,"dd/mm hh:mm"))))</f>
        <v/>
      </c>
    </row>
    <row r="243">
      <c r="A243" s="13" t="inlineStr">
        <is>
          <t>241</t>
        </is>
      </c>
      <c r="B243" t="inlineStr">
        <is>
          <t>LIBRE</t>
        </is>
      </c>
      <c r="C243" s="14" t="n"/>
      <c r="E243" s="15">
        <f>IF($G243&lt;&gt;"PAGADO","",IFERROR(IF(VLOOKUP($A243,COMPRADORES!$A:$D,4,FALSE)="NO","Reservado",LEFT(VLOOKUP($A243,COMPRADORES!$A:$D,2,FALSE),3)&amp;"***"&amp;IF(TRIM(MID(VLOOKUP($A243,COMPRADORES!$A:$D,2,FALSE)&amp;" ",FIND(" ",VLOOKUP($A243,COMPRADORES!$A:$D,2,FALSE)&amp;" ")+1,99))="",""," "&amp;LEFT(TRIM(MID(VLOOKUP($A243,COMPRADORES!$A:$D,2,FALSE)&amp;" ",FIND(" ",VLOOKUP($A243,COMPRADORES!$A:$D,2,FALSE)&amp;" ")+1,99)),1)&amp;".")),""))</f>
        <v/>
      </c>
      <c r="F243" s="16">
        <f>IF($B243="PAGADO",MID("ABCDEFGHIJ",INT(VALUE($A243)/100)+1,1)&amp;"-"&amp;$A243,"")</f>
        <v/>
      </c>
      <c r="G243" s="16">
        <f>IF($B243="PAGADO","PAGADO",IF($B243="APARTADO",IF(NOT(ISNUMBER($C243)),"APARTADO",IF($C243&lt;1,"APARTADO",IF(NOW()-$C243&gt;1,"LIBRE","APARTADO"))),"LIBRE"))</f>
        <v/>
      </c>
      <c r="H243" s="15">
        <f>IF($G243&lt;&gt;"APARTADO","",IF(NOT(ISNUMBER($C243)),"FALTA LA HORA",IF($C243&lt;1,"FALTA LA FECHA",TEXT($C243+1,"dd/mm hh:mm"))))</f>
        <v/>
      </c>
    </row>
    <row r="244">
      <c r="A244" s="13" t="inlineStr">
        <is>
          <t>242</t>
        </is>
      </c>
      <c r="B244" t="inlineStr">
        <is>
          <t>LIBRE</t>
        </is>
      </c>
      <c r="C244" s="14" t="n"/>
      <c r="E244" s="15">
        <f>IF($G244&lt;&gt;"PAGADO","",IFERROR(IF(VLOOKUP($A244,COMPRADORES!$A:$D,4,FALSE)="NO","Reservado",LEFT(VLOOKUP($A244,COMPRADORES!$A:$D,2,FALSE),3)&amp;"***"&amp;IF(TRIM(MID(VLOOKUP($A244,COMPRADORES!$A:$D,2,FALSE)&amp;" ",FIND(" ",VLOOKUP($A244,COMPRADORES!$A:$D,2,FALSE)&amp;" ")+1,99))="",""," "&amp;LEFT(TRIM(MID(VLOOKUP($A244,COMPRADORES!$A:$D,2,FALSE)&amp;" ",FIND(" ",VLOOKUP($A244,COMPRADORES!$A:$D,2,FALSE)&amp;" ")+1,99)),1)&amp;".")),""))</f>
        <v/>
      </c>
      <c r="F244" s="16">
        <f>IF($B244="PAGADO",MID("ABCDEFGHIJ",INT(VALUE($A244)/100)+1,1)&amp;"-"&amp;$A244,"")</f>
        <v/>
      </c>
      <c r="G244" s="16">
        <f>IF($B244="PAGADO","PAGADO",IF($B244="APARTADO",IF(NOT(ISNUMBER($C244)),"APARTADO",IF($C244&lt;1,"APARTADO",IF(NOW()-$C244&gt;1,"LIBRE","APARTADO"))),"LIBRE"))</f>
        <v/>
      </c>
      <c r="H244" s="15">
        <f>IF($G244&lt;&gt;"APARTADO","",IF(NOT(ISNUMBER($C244)),"FALTA LA HORA",IF($C244&lt;1,"FALTA LA FECHA",TEXT($C244+1,"dd/mm hh:mm"))))</f>
        <v/>
      </c>
    </row>
    <row r="245">
      <c r="A245" s="13" t="inlineStr">
        <is>
          <t>243</t>
        </is>
      </c>
      <c r="B245" t="inlineStr">
        <is>
          <t>LIBRE</t>
        </is>
      </c>
      <c r="C245" s="14" t="n"/>
      <c r="E245" s="15">
        <f>IF($G245&lt;&gt;"PAGADO","",IFERROR(IF(VLOOKUP($A245,COMPRADORES!$A:$D,4,FALSE)="NO","Reservado",LEFT(VLOOKUP($A245,COMPRADORES!$A:$D,2,FALSE),3)&amp;"***"&amp;IF(TRIM(MID(VLOOKUP($A245,COMPRADORES!$A:$D,2,FALSE)&amp;" ",FIND(" ",VLOOKUP($A245,COMPRADORES!$A:$D,2,FALSE)&amp;" ")+1,99))="",""," "&amp;LEFT(TRIM(MID(VLOOKUP($A245,COMPRADORES!$A:$D,2,FALSE)&amp;" ",FIND(" ",VLOOKUP($A245,COMPRADORES!$A:$D,2,FALSE)&amp;" ")+1,99)),1)&amp;".")),""))</f>
        <v/>
      </c>
      <c r="F245" s="16">
        <f>IF($B245="PAGADO",MID("ABCDEFGHIJ",INT(VALUE($A245)/100)+1,1)&amp;"-"&amp;$A245,"")</f>
        <v/>
      </c>
      <c r="G245" s="16">
        <f>IF($B245="PAGADO","PAGADO",IF($B245="APARTADO",IF(NOT(ISNUMBER($C245)),"APARTADO",IF($C245&lt;1,"APARTADO",IF(NOW()-$C245&gt;1,"LIBRE","APARTADO"))),"LIBRE"))</f>
        <v/>
      </c>
      <c r="H245" s="15">
        <f>IF($G245&lt;&gt;"APARTADO","",IF(NOT(ISNUMBER($C245)),"FALTA LA HORA",IF($C245&lt;1,"FALTA LA FECHA",TEXT($C245+1,"dd/mm hh:mm"))))</f>
        <v/>
      </c>
    </row>
    <row r="246">
      <c r="A246" s="13" t="inlineStr">
        <is>
          <t>244</t>
        </is>
      </c>
      <c r="B246" t="inlineStr">
        <is>
          <t>LIBRE</t>
        </is>
      </c>
      <c r="C246" s="14" t="n"/>
      <c r="E246" s="15">
        <f>IF($G246&lt;&gt;"PAGADO","",IFERROR(IF(VLOOKUP($A246,COMPRADORES!$A:$D,4,FALSE)="NO","Reservado",LEFT(VLOOKUP($A246,COMPRADORES!$A:$D,2,FALSE),3)&amp;"***"&amp;IF(TRIM(MID(VLOOKUP($A246,COMPRADORES!$A:$D,2,FALSE)&amp;" ",FIND(" ",VLOOKUP($A246,COMPRADORES!$A:$D,2,FALSE)&amp;" ")+1,99))="",""," "&amp;LEFT(TRIM(MID(VLOOKUP($A246,COMPRADORES!$A:$D,2,FALSE)&amp;" ",FIND(" ",VLOOKUP($A246,COMPRADORES!$A:$D,2,FALSE)&amp;" ")+1,99)),1)&amp;".")),""))</f>
        <v/>
      </c>
      <c r="F246" s="16">
        <f>IF($B246="PAGADO",MID("ABCDEFGHIJ",INT(VALUE($A246)/100)+1,1)&amp;"-"&amp;$A246,"")</f>
        <v/>
      </c>
      <c r="G246" s="16">
        <f>IF($B246="PAGADO","PAGADO",IF($B246="APARTADO",IF(NOT(ISNUMBER($C246)),"APARTADO",IF($C246&lt;1,"APARTADO",IF(NOW()-$C246&gt;1,"LIBRE","APARTADO"))),"LIBRE"))</f>
        <v/>
      </c>
      <c r="H246" s="15">
        <f>IF($G246&lt;&gt;"APARTADO","",IF(NOT(ISNUMBER($C246)),"FALTA LA HORA",IF($C246&lt;1,"FALTA LA FECHA",TEXT($C246+1,"dd/mm hh:mm"))))</f>
        <v/>
      </c>
    </row>
    <row r="247">
      <c r="A247" s="13" t="inlineStr">
        <is>
          <t>245</t>
        </is>
      </c>
      <c r="B247" t="inlineStr">
        <is>
          <t>LIBRE</t>
        </is>
      </c>
      <c r="C247" s="14" t="n"/>
      <c r="E247" s="15">
        <f>IF($G247&lt;&gt;"PAGADO","",IFERROR(IF(VLOOKUP($A247,COMPRADORES!$A:$D,4,FALSE)="NO","Reservado",LEFT(VLOOKUP($A247,COMPRADORES!$A:$D,2,FALSE),3)&amp;"***"&amp;IF(TRIM(MID(VLOOKUP($A247,COMPRADORES!$A:$D,2,FALSE)&amp;" ",FIND(" ",VLOOKUP($A247,COMPRADORES!$A:$D,2,FALSE)&amp;" ")+1,99))="",""," "&amp;LEFT(TRIM(MID(VLOOKUP($A247,COMPRADORES!$A:$D,2,FALSE)&amp;" ",FIND(" ",VLOOKUP($A247,COMPRADORES!$A:$D,2,FALSE)&amp;" ")+1,99)),1)&amp;".")),""))</f>
        <v/>
      </c>
      <c r="F247" s="16">
        <f>IF($B247="PAGADO",MID("ABCDEFGHIJ",INT(VALUE($A247)/100)+1,1)&amp;"-"&amp;$A247,"")</f>
        <v/>
      </c>
      <c r="G247" s="16">
        <f>IF($B247="PAGADO","PAGADO",IF($B247="APARTADO",IF(NOT(ISNUMBER($C247)),"APARTADO",IF($C247&lt;1,"APARTADO",IF(NOW()-$C247&gt;1,"LIBRE","APARTADO"))),"LIBRE"))</f>
        <v/>
      </c>
      <c r="H247" s="15">
        <f>IF($G247&lt;&gt;"APARTADO","",IF(NOT(ISNUMBER($C247)),"FALTA LA HORA",IF($C247&lt;1,"FALTA LA FECHA",TEXT($C247+1,"dd/mm hh:mm"))))</f>
        <v/>
      </c>
    </row>
    <row r="248">
      <c r="A248" s="13" t="inlineStr">
        <is>
          <t>246</t>
        </is>
      </c>
      <c r="B248" t="inlineStr">
        <is>
          <t>LIBRE</t>
        </is>
      </c>
      <c r="C248" s="14" t="n"/>
      <c r="E248" s="15">
        <f>IF($G248&lt;&gt;"PAGADO","",IFERROR(IF(VLOOKUP($A248,COMPRADORES!$A:$D,4,FALSE)="NO","Reservado",LEFT(VLOOKUP($A248,COMPRADORES!$A:$D,2,FALSE),3)&amp;"***"&amp;IF(TRIM(MID(VLOOKUP($A248,COMPRADORES!$A:$D,2,FALSE)&amp;" ",FIND(" ",VLOOKUP($A248,COMPRADORES!$A:$D,2,FALSE)&amp;" ")+1,99))="",""," "&amp;LEFT(TRIM(MID(VLOOKUP($A248,COMPRADORES!$A:$D,2,FALSE)&amp;" ",FIND(" ",VLOOKUP($A248,COMPRADORES!$A:$D,2,FALSE)&amp;" ")+1,99)),1)&amp;".")),""))</f>
        <v/>
      </c>
      <c r="F248" s="16">
        <f>IF($B248="PAGADO",MID("ABCDEFGHIJ",INT(VALUE($A248)/100)+1,1)&amp;"-"&amp;$A248,"")</f>
        <v/>
      </c>
      <c r="G248" s="16">
        <f>IF($B248="PAGADO","PAGADO",IF($B248="APARTADO",IF(NOT(ISNUMBER($C248)),"APARTADO",IF($C248&lt;1,"APARTADO",IF(NOW()-$C248&gt;1,"LIBRE","APARTADO"))),"LIBRE"))</f>
        <v/>
      </c>
      <c r="H248" s="15">
        <f>IF($G248&lt;&gt;"APARTADO","",IF(NOT(ISNUMBER($C248)),"FALTA LA HORA",IF($C248&lt;1,"FALTA LA FECHA",TEXT($C248+1,"dd/mm hh:mm"))))</f>
        <v/>
      </c>
    </row>
    <row r="249">
      <c r="A249" s="13" t="inlineStr">
        <is>
          <t>247</t>
        </is>
      </c>
      <c r="B249" t="inlineStr">
        <is>
          <t>LIBRE</t>
        </is>
      </c>
      <c r="C249" s="14" t="n"/>
      <c r="E249" s="15">
        <f>IF($G249&lt;&gt;"PAGADO","",IFERROR(IF(VLOOKUP($A249,COMPRADORES!$A:$D,4,FALSE)="NO","Reservado",LEFT(VLOOKUP($A249,COMPRADORES!$A:$D,2,FALSE),3)&amp;"***"&amp;IF(TRIM(MID(VLOOKUP($A249,COMPRADORES!$A:$D,2,FALSE)&amp;" ",FIND(" ",VLOOKUP($A249,COMPRADORES!$A:$D,2,FALSE)&amp;" ")+1,99))="",""," "&amp;LEFT(TRIM(MID(VLOOKUP($A249,COMPRADORES!$A:$D,2,FALSE)&amp;" ",FIND(" ",VLOOKUP($A249,COMPRADORES!$A:$D,2,FALSE)&amp;" ")+1,99)),1)&amp;".")),""))</f>
        <v/>
      </c>
      <c r="F249" s="16">
        <f>IF($B249="PAGADO",MID("ABCDEFGHIJ",INT(VALUE($A249)/100)+1,1)&amp;"-"&amp;$A249,"")</f>
        <v/>
      </c>
      <c r="G249" s="16">
        <f>IF($B249="PAGADO","PAGADO",IF($B249="APARTADO",IF(NOT(ISNUMBER($C249)),"APARTADO",IF($C249&lt;1,"APARTADO",IF(NOW()-$C249&gt;1,"LIBRE","APARTADO"))),"LIBRE"))</f>
        <v/>
      </c>
      <c r="H249" s="15">
        <f>IF($G249&lt;&gt;"APARTADO","",IF(NOT(ISNUMBER($C249)),"FALTA LA HORA",IF($C249&lt;1,"FALTA LA FECHA",TEXT($C249+1,"dd/mm hh:mm"))))</f>
        <v/>
      </c>
    </row>
    <row r="250">
      <c r="A250" s="13" t="inlineStr">
        <is>
          <t>248</t>
        </is>
      </c>
      <c r="B250" t="inlineStr">
        <is>
          <t>LIBRE</t>
        </is>
      </c>
      <c r="C250" s="14" t="n"/>
      <c r="E250" s="15">
        <f>IF($G250&lt;&gt;"PAGADO","",IFERROR(IF(VLOOKUP($A250,COMPRADORES!$A:$D,4,FALSE)="NO","Reservado",LEFT(VLOOKUP($A250,COMPRADORES!$A:$D,2,FALSE),3)&amp;"***"&amp;IF(TRIM(MID(VLOOKUP($A250,COMPRADORES!$A:$D,2,FALSE)&amp;" ",FIND(" ",VLOOKUP($A250,COMPRADORES!$A:$D,2,FALSE)&amp;" ")+1,99))="",""," "&amp;LEFT(TRIM(MID(VLOOKUP($A250,COMPRADORES!$A:$D,2,FALSE)&amp;" ",FIND(" ",VLOOKUP($A250,COMPRADORES!$A:$D,2,FALSE)&amp;" ")+1,99)),1)&amp;".")),""))</f>
        <v/>
      </c>
      <c r="F250" s="16">
        <f>IF($B250="PAGADO",MID("ABCDEFGHIJ",INT(VALUE($A250)/100)+1,1)&amp;"-"&amp;$A250,"")</f>
        <v/>
      </c>
      <c r="G250" s="16">
        <f>IF($B250="PAGADO","PAGADO",IF($B250="APARTADO",IF(NOT(ISNUMBER($C250)),"APARTADO",IF($C250&lt;1,"APARTADO",IF(NOW()-$C250&gt;1,"LIBRE","APARTADO"))),"LIBRE"))</f>
        <v/>
      </c>
      <c r="H250" s="15">
        <f>IF($G250&lt;&gt;"APARTADO","",IF(NOT(ISNUMBER($C250)),"FALTA LA HORA",IF($C250&lt;1,"FALTA LA FECHA",TEXT($C250+1,"dd/mm hh:mm"))))</f>
        <v/>
      </c>
    </row>
    <row r="251">
      <c r="A251" s="13" t="inlineStr">
        <is>
          <t>249</t>
        </is>
      </c>
      <c r="B251" t="inlineStr">
        <is>
          <t>LIBRE</t>
        </is>
      </c>
      <c r="C251" s="14" t="n"/>
      <c r="E251" s="15">
        <f>IF($G251&lt;&gt;"PAGADO","",IFERROR(IF(VLOOKUP($A251,COMPRADORES!$A:$D,4,FALSE)="NO","Reservado",LEFT(VLOOKUP($A251,COMPRADORES!$A:$D,2,FALSE),3)&amp;"***"&amp;IF(TRIM(MID(VLOOKUP($A251,COMPRADORES!$A:$D,2,FALSE)&amp;" ",FIND(" ",VLOOKUP($A251,COMPRADORES!$A:$D,2,FALSE)&amp;" ")+1,99))="",""," "&amp;LEFT(TRIM(MID(VLOOKUP($A251,COMPRADORES!$A:$D,2,FALSE)&amp;" ",FIND(" ",VLOOKUP($A251,COMPRADORES!$A:$D,2,FALSE)&amp;" ")+1,99)),1)&amp;".")),""))</f>
        <v/>
      </c>
      <c r="F251" s="16">
        <f>IF($B251="PAGADO",MID("ABCDEFGHIJ",INT(VALUE($A251)/100)+1,1)&amp;"-"&amp;$A251,"")</f>
        <v/>
      </c>
      <c r="G251" s="16">
        <f>IF($B251="PAGADO","PAGADO",IF($B251="APARTADO",IF(NOT(ISNUMBER($C251)),"APARTADO",IF($C251&lt;1,"APARTADO",IF(NOW()-$C251&gt;1,"LIBRE","APARTADO"))),"LIBRE"))</f>
        <v/>
      </c>
      <c r="H251" s="15">
        <f>IF($G251&lt;&gt;"APARTADO","",IF(NOT(ISNUMBER($C251)),"FALTA LA HORA",IF($C251&lt;1,"FALTA LA FECHA",TEXT($C251+1,"dd/mm hh:mm"))))</f>
        <v/>
      </c>
    </row>
    <row r="252">
      <c r="A252" s="13" t="inlineStr">
        <is>
          <t>250</t>
        </is>
      </c>
      <c r="B252" t="inlineStr">
        <is>
          <t>LIBRE</t>
        </is>
      </c>
      <c r="C252" s="14" t="n"/>
      <c r="E252" s="15">
        <f>IF($G252&lt;&gt;"PAGADO","",IFERROR(IF(VLOOKUP($A252,COMPRADORES!$A:$D,4,FALSE)="NO","Reservado",LEFT(VLOOKUP($A252,COMPRADORES!$A:$D,2,FALSE),3)&amp;"***"&amp;IF(TRIM(MID(VLOOKUP($A252,COMPRADORES!$A:$D,2,FALSE)&amp;" ",FIND(" ",VLOOKUP($A252,COMPRADORES!$A:$D,2,FALSE)&amp;" ")+1,99))="",""," "&amp;LEFT(TRIM(MID(VLOOKUP($A252,COMPRADORES!$A:$D,2,FALSE)&amp;" ",FIND(" ",VLOOKUP($A252,COMPRADORES!$A:$D,2,FALSE)&amp;" ")+1,99)),1)&amp;".")),""))</f>
        <v/>
      </c>
      <c r="F252" s="16">
        <f>IF($B252="PAGADO",MID("ABCDEFGHIJ",INT(VALUE($A252)/100)+1,1)&amp;"-"&amp;$A252,"")</f>
        <v/>
      </c>
      <c r="G252" s="16">
        <f>IF($B252="PAGADO","PAGADO",IF($B252="APARTADO",IF(NOT(ISNUMBER($C252)),"APARTADO",IF($C252&lt;1,"APARTADO",IF(NOW()-$C252&gt;1,"LIBRE","APARTADO"))),"LIBRE"))</f>
        <v/>
      </c>
      <c r="H252" s="15">
        <f>IF($G252&lt;&gt;"APARTADO","",IF(NOT(ISNUMBER($C252)),"FALTA LA HORA",IF($C252&lt;1,"FALTA LA FECHA",TEXT($C252+1,"dd/mm hh:mm"))))</f>
        <v/>
      </c>
    </row>
    <row r="253">
      <c r="A253" s="13" t="inlineStr">
        <is>
          <t>251</t>
        </is>
      </c>
      <c r="B253" t="inlineStr">
        <is>
          <t>LIBRE</t>
        </is>
      </c>
      <c r="C253" s="14" t="n"/>
      <c r="E253" s="15">
        <f>IF($G253&lt;&gt;"PAGADO","",IFERROR(IF(VLOOKUP($A253,COMPRADORES!$A:$D,4,FALSE)="NO","Reservado",LEFT(VLOOKUP($A253,COMPRADORES!$A:$D,2,FALSE),3)&amp;"***"&amp;IF(TRIM(MID(VLOOKUP($A253,COMPRADORES!$A:$D,2,FALSE)&amp;" ",FIND(" ",VLOOKUP($A253,COMPRADORES!$A:$D,2,FALSE)&amp;" ")+1,99))="",""," "&amp;LEFT(TRIM(MID(VLOOKUP($A253,COMPRADORES!$A:$D,2,FALSE)&amp;" ",FIND(" ",VLOOKUP($A253,COMPRADORES!$A:$D,2,FALSE)&amp;" ")+1,99)),1)&amp;".")),""))</f>
        <v/>
      </c>
      <c r="F253" s="16">
        <f>IF($B253="PAGADO",MID("ABCDEFGHIJ",INT(VALUE($A253)/100)+1,1)&amp;"-"&amp;$A253,"")</f>
        <v/>
      </c>
      <c r="G253" s="16">
        <f>IF($B253="PAGADO","PAGADO",IF($B253="APARTADO",IF(NOT(ISNUMBER($C253)),"APARTADO",IF($C253&lt;1,"APARTADO",IF(NOW()-$C253&gt;1,"LIBRE","APARTADO"))),"LIBRE"))</f>
        <v/>
      </c>
      <c r="H253" s="15">
        <f>IF($G253&lt;&gt;"APARTADO","",IF(NOT(ISNUMBER($C253)),"FALTA LA HORA",IF($C253&lt;1,"FALTA LA FECHA",TEXT($C253+1,"dd/mm hh:mm"))))</f>
        <v/>
      </c>
    </row>
    <row r="254">
      <c r="A254" s="13" t="inlineStr">
        <is>
          <t>252</t>
        </is>
      </c>
      <c r="B254" t="inlineStr">
        <is>
          <t>LIBRE</t>
        </is>
      </c>
      <c r="C254" s="14" t="n"/>
      <c r="E254" s="15">
        <f>IF($G254&lt;&gt;"PAGADO","",IFERROR(IF(VLOOKUP($A254,COMPRADORES!$A:$D,4,FALSE)="NO","Reservado",LEFT(VLOOKUP($A254,COMPRADORES!$A:$D,2,FALSE),3)&amp;"***"&amp;IF(TRIM(MID(VLOOKUP($A254,COMPRADORES!$A:$D,2,FALSE)&amp;" ",FIND(" ",VLOOKUP($A254,COMPRADORES!$A:$D,2,FALSE)&amp;" ")+1,99))="",""," "&amp;LEFT(TRIM(MID(VLOOKUP($A254,COMPRADORES!$A:$D,2,FALSE)&amp;" ",FIND(" ",VLOOKUP($A254,COMPRADORES!$A:$D,2,FALSE)&amp;" ")+1,99)),1)&amp;".")),""))</f>
        <v/>
      </c>
      <c r="F254" s="16">
        <f>IF($B254="PAGADO",MID("ABCDEFGHIJ",INT(VALUE($A254)/100)+1,1)&amp;"-"&amp;$A254,"")</f>
        <v/>
      </c>
      <c r="G254" s="16">
        <f>IF($B254="PAGADO","PAGADO",IF($B254="APARTADO",IF(NOT(ISNUMBER($C254)),"APARTADO",IF($C254&lt;1,"APARTADO",IF(NOW()-$C254&gt;1,"LIBRE","APARTADO"))),"LIBRE"))</f>
        <v/>
      </c>
      <c r="H254" s="15">
        <f>IF($G254&lt;&gt;"APARTADO","",IF(NOT(ISNUMBER($C254)),"FALTA LA HORA",IF($C254&lt;1,"FALTA LA FECHA",TEXT($C254+1,"dd/mm hh:mm"))))</f>
        <v/>
      </c>
    </row>
    <row r="255">
      <c r="A255" s="13" t="inlineStr">
        <is>
          <t>253</t>
        </is>
      </c>
      <c r="B255" t="inlineStr">
        <is>
          <t>LIBRE</t>
        </is>
      </c>
      <c r="C255" s="14" t="n"/>
      <c r="E255" s="15">
        <f>IF($G255&lt;&gt;"PAGADO","",IFERROR(IF(VLOOKUP($A255,COMPRADORES!$A:$D,4,FALSE)="NO","Reservado",LEFT(VLOOKUP($A255,COMPRADORES!$A:$D,2,FALSE),3)&amp;"***"&amp;IF(TRIM(MID(VLOOKUP($A255,COMPRADORES!$A:$D,2,FALSE)&amp;" ",FIND(" ",VLOOKUP($A255,COMPRADORES!$A:$D,2,FALSE)&amp;" ")+1,99))="",""," "&amp;LEFT(TRIM(MID(VLOOKUP($A255,COMPRADORES!$A:$D,2,FALSE)&amp;" ",FIND(" ",VLOOKUP($A255,COMPRADORES!$A:$D,2,FALSE)&amp;" ")+1,99)),1)&amp;".")),""))</f>
        <v/>
      </c>
      <c r="F255" s="16">
        <f>IF($B255="PAGADO",MID("ABCDEFGHIJ",INT(VALUE($A255)/100)+1,1)&amp;"-"&amp;$A255,"")</f>
        <v/>
      </c>
      <c r="G255" s="16">
        <f>IF($B255="PAGADO","PAGADO",IF($B255="APARTADO",IF(NOT(ISNUMBER($C255)),"APARTADO",IF($C255&lt;1,"APARTADO",IF(NOW()-$C255&gt;1,"LIBRE","APARTADO"))),"LIBRE"))</f>
        <v/>
      </c>
      <c r="H255" s="15">
        <f>IF($G255&lt;&gt;"APARTADO","",IF(NOT(ISNUMBER($C255)),"FALTA LA HORA",IF($C255&lt;1,"FALTA LA FECHA",TEXT($C255+1,"dd/mm hh:mm"))))</f>
        <v/>
      </c>
    </row>
    <row r="256">
      <c r="A256" s="13" t="inlineStr">
        <is>
          <t>254</t>
        </is>
      </c>
      <c r="B256" t="inlineStr">
        <is>
          <t>LIBRE</t>
        </is>
      </c>
      <c r="C256" s="14" t="n"/>
      <c r="E256" s="15">
        <f>IF($G256&lt;&gt;"PAGADO","",IFERROR(IF(VLOOKUP($A256,COMPRADORES!$A:$D,4,FALSE)="NO","Reservado",LEFT(VLOOKUP($A256,COMPRADORES!$A:$D,2,FALSE),3)&amp;"***"&amp;IF(TRIM(MID(VLOOKUP($A256,COMPRADORES!$A:$D,2,FALSE)&amp;" ",FIND(" ",VLOOKUP($A256,COMPRADORES!$A:$D,2,FALSE)&amp;" ")+1,99))="",""," "&amp;LEFT(TRIM(MID(VLOOKUP($A256,COMPRADORES!$A:$D,2,FALSE)&amp;" ",FIND(" ",VLOOKUP($A256,COMPRADORES!$A:$D,2,FALSE)&amp;" ")+1,99)),1)&amp;".")),""))</f>
        <v/>
      </c>
      <c r="F256" s="16">
        <f>IF($B256="PAGADO",MID("ABCDEFGHIJ",INT(VALUE($A256)/100)+1,1)&amp;"-"&amp;$A256,"")</f>
        <v/>
      </c>
      <c r="G256" s="16">
        <f>IF($B256="PAGADO","PAGADO",IF($B256="APARTADO",IF(NOT(ISNUMBER($C256)),"APARTADO",IF($C256&lt;1,"APARTADO",IF(NOW()-$C256&gt;1,"LIBRE","APARTADO"))),"LIBRE"))</f>
        <v/>
      </c>
      <c r="H256" s="15">
        <f>IF($G256&lt;&gt;"APARTADO","",IF(NOT(ISNUMBER($C256)),"FALTA LA HORA",IF($C256&lt;1,"FALTA LA FECHA",TEXT($C256+1,"dd/mm hh:mm"))))</f>
        <v/>
      </c>
    </row>
    <row r="257">
      <c r="A257" s="13" t="inlineStr">
        <is>
          <t>255</t>
        </is>
      </c>
      <c r="B257" t="inlineStr">
        <is>
          <t>LIBRE</t>
        </is>
      </c>
      <c r="C257" s="14" t="n"/>
      <c r="E257" s="15">
        <f>IF($G257&lt;&gt;"PAGADO","",IFERROR(IF(VLOOKUP($A257,COMPRADORES!$A:$D,4,FALSE)="NO","Reservado",LEFT(VLOOKUP($A257,COMPRADORES!$A:$D,2,FALSE),3)&amp;"***"&amp;IF(TRIM(MID(VLOOKUP($A257,COMPRADORES!$A:$D,2,FALSE)&amp;" ",FIND(" ",VLOOKUP($A257,COMPRADORES!$A:$D,2,FALSE)&amp;" ")+1,99))="",""," "&amp;LEFT(TRIM(MID(VLOOKUP($A257,COMPRADORES!$A:$D,2,FALSE)&amp;" ",FIND(" ",VLOOKUP($A257,COMPRADORES!$A:$D,2,FALSE)&amp;" ")+1,99)),1)&amp;".")),""))</f>
        <v/>
      </c>
      <c r="F257" s="16">
        <f>IF($B257="PAGADO",MID("ABCDEFGHIJ",INT(VALUE($A257)/100)+1,1)&amp;"-"&amp;$A257,"")</f>
        <v/>
      </c>
      <c r="G257" s="16">
        <f>IF($B257="PAGADO","PAGADO",IF($B257="APARTADO",IF(NOT(ISNUMBER($C257)),"APARTADO",IF($C257&lt;1,"APARTADO",IF(NOW()-$C257&gt;1,"LIBRE","APARTADO"))),"LIBRE"))</f>
        <v/>
      </c>
      <c r="H257" s="15">
        <f>IF($G257&lt;&gt;"APARTADO","",IF(NOT(ISNUMBER($C257)),"FALTA LA HORA",IF($C257&lt;1,"FALTA LA FECHA",TEXT($C257+1,"dd/mm hh:mm"))))</f>
        <v/>
      </c>
    </row>
    <row r="258">
      <c r="A258" s="13" t="inlineStr">
        <is>
          <t>256</t>
        </is>
      </c>
      <c r="B258" t="inlineStr">
        <is>
          <t>LIBRE</t>
        </is>
      </c>
      <c r="C258" s="14" t="n"/>
      <c r="E258" s="15">
        <f>IF($G258&lt;&gt;"PAGADO","",IFERROR(IF(VLOOKUP($A258,COMPRADORES!$A:$D,4,FALSE)="NO","Reservado",LEFT(VLOOKUP($A258,COMPRADORES!$A:$D,2,FALSE),3)&amp;"***"&amp;IF(TRIM(MID(VLOOKUP($A258,COMPRADORES!$A:$D,2,FALSE)&amp;" ",FIND(" ",VLOOKUP($A258,COMPRADORES!$A:$D,2,FALSE)&amp;" ")+1,99))="",""," "&amp;LEFT(TRIM(MID(VLOOKUP($A258,COMPRADORES!$A:$D,2,FALSE)&amp;" ",FIND(" ",VLOOKUP($A258,COMPRADORES!$A:$D,2,FALSE)&amp;" ")+1,99)),1)&amp;".")),""))</f>
        <v/>
      </c>
      <c r="F258" s="16">
        <f>IF($B258="PAGADO",MID("ABCDEFGHIJ",INT(VALUE($A258)/100)+1,1)&amp;"-"&amp;$A258,"")</f>
        <v/>
      </c>
      <c r="G258" s="16">
        <f>IF($B258="PAGADO","PAGADO",IF($B258="APARTADO",IF(NOT(ISNUMBER($C258)),"APARTADO",IF($C258&lt;1,"APARTADO",IF(NOW()-$C258&gt;1,"LIBRE","APARTADO"))),"LIBRE"))</f>
        <v/>
      </c>
      <c r="H258" s="15">
        <f>IF($G258&lt;&gt;"APARTADO","",IF(NOT(ISNUMBER($C258)),"FALTA LA HORA",IF($C258&lt;1,"FALTA LA FECHA",TEXT($C258+1,"dd/mm hh:mm"))))</f>
        <v/>
      </c>
    </row>
    <row r="259">
      <c r="A259" s="13" t="inlineStr">
        <is>
          <t>257</t>
        </is>
      </c>
      <c r="B259" t="inlineStr">
        <is>
          <t>LIBRE</t>
        </is>
      </c>
      <c r="C259" s="14" t="n"/>
      <c r="E259" s="15">
        <f>IF($G259&lt;&gt;"PAGADO","",IFERROR(IF(VLOOKUP($A259,COMPRADORES!$A:$D,4,FALSE)="NO","Reservado",LEFT(VLOOKUP($A259,COMPRADORES!$A:$D,2,FALSE),3)&amp;"***"&amp;IF(TRIM(MID(VLOOKUP($A259,COMPRADORES!$A:$D,2,FALSE)&amp;" ",FIND(" ",VLOOKUP($A259,COMPRADORES!$A:$D,2,FALSE)&amp;" ")+1,99))="",""," "&amp;LEFT(TRIM(MID(VLOOKUP($A259,COMPRADORES!$A:$D,2,FALSE)&amp;" ",FIND(" ",VLOOKUP($A259,COMPRADORES!$A:$D,2,FALSE)&amp;" ")+1,99)),1)&amp;".")),""))</f>
        <v/>
      </c>
      <c r="F259" s="16">
        <f>IF($B259="PAGADO",MID("ABCDEFGHIJ",INT(VALUE($A259)/100)+1,1)&amp;"-"&amp;$A259,"")</f>
        <v/>
      </c>
      <c r="G259" s="16">
        <f>IF($B259="PAGADO","PAGADO",IF($B259="APARTADO",IF(NOT(ISNUMBER($C259)),"APARTADO",IF($C259&lt;1,"APARTADO",IF(NOW()-$C259&gt;1,"LIBRE","APARTADO"))),"LIBRE"))</f>
        <v/>
      </c>
      <c r="H259" s="15">
        <f>IF($G259&lt;&gt;"APARTADO","",IF(NOT(ISNUMBER($C259)),"FALTA LA HORA",IF($C259&lt;1,"FALTA LA FECHA",TEXT($C259+1,"dd/mm hh:mm"))))</f>
        <v/>
      </c>
    </row>
    <row r="260">
      <c r="A260" s="13" t="inlineStr">
        <is>
          <t>258</t>
        </is>
      </c>
      <c r="B260" t="inlineStr">
        <is>
          <t>LIBRE</t>
        </is>
      </c>
      <c r="C260" s="14" t="n"/>
      <c r="E260" s="15">
        <f>IF($G260&lt;&gt;"PAGADO","",IFERROR(IF(VLOOKUP($A260,COMPRADORES!$A:$D,4,FALSE)="NO","Reservado",LEFT(VLOOKUP($A260,COMPRADORES!$A:$D,2,FALSE),3)&amp;"***"&amp;IF(TRIM(MID(VLOOKUP($A260,COMPRADORES!$A:$D,2,FALSE)&amp;" ",FIND(" ",VLOOKUP($A260,COMPRADORES!$A:$D,2,FALSE)&amp;" ")+1,99))="",""," "&amp;LEFT(TRIM(MID(VLOOKUP($A260,COMPRADORES!$A:$D,2,FALSE)&amp;" ",FIND(" ",VLOOKUP($A260,COMPRADORES!$A:$D,2,FALSE)&amp;" ")+1,99)),1)&amp;".")),""))</f>
        <v/>
      </c>
      <c r="F260" s="16">
        <f>IF($B260="PAGADO",MID("ABCDEFGHIJ",INT(VALUE($A260)/100)+1,1)&amp;"-"&amp;$A260,"")</f>
        <v/>
      </c>
      <c r="G260" s="16">
        <f>IF($B260="PAGADO","PAGADO",IF($B260="APARTADO",IF(NOT(ISNUMBER($C260)),"APARTADO",IF($C260&lt;1,"APARTADO",IF(NOW()-$C260&gt;1,"LIBRE","APARTADO"))),"LIBRE"))</f>
        <v/>
      </c>
      <c r="H260" s="15">
        <f>IF($G260&lt;&gt;"APARTADO","",IF(NOT(ISNUMBER($C260)),"FALTA LA HORA",IF($C260&lt;1,"FALTA LA FECHA",TEXT($C260+1,"dd/mm hh:mm"))))</f>
        <v/>
      </c>
    </row>
    <row r="261">
      <c r="A261" s="13" t="inlineStr">
        <is>
          <t>259</t>
        </is>
      </c>
      <c r="B261" t="inlineStr">
        <is>
          <t>LIBRE</t>
        </is>
      </c>
      <c r="C261" s="14" t="n"/>
      <c r="E261" s="15">
        <f>IF($G261&lt;&gt;"PAGADO","",IFERROR(IF(VLOOKUP($A261,COMPRADORES!$A:$D,4,FALSE)="NO","Reservado",LEFT(VLOOKUP($A261,COMPRADORES!$A:$D,2,FALSE),3)&amp;"***"&amp;IF(TRIM(MID(VLOOKUP($A261,COMPRADORES!$A:$D,2,FALSE)&amp;" ",FIND(" ",VLOOKUP($A261,COMPRADORES!$A:$D,2,FALSE)&amp;" ")+1,99))="",""," "&amp;LEFT(TRIM(MID(VLOOKUP($A261,COMPRADORES!$A:$D,2,FALSE)&amp;" ",FIND(" ",VLOOKUP($A261,COMPRADORES!$A:$D,2,FALSE)&amp;" ")+1,99)),1)&amp;".")),""))</f>
        <v/>
      </c>
      <c r="F261" s="16">
        <f>IF($B261="PAGADO",MID("ABCDEFGHIJ",INT(VALUE($A261)/100)+1,1)&amp;"-"&amp;$A261,"")</f>
        <v/>
      </c>
      <c r="G261" s="16">
        <f>IF($B261="PAGADO","PAGADO",IF($B261="APARTADO",IF(NOT(ISNUMBER($C261)),"APARTADO",IF($C261&lt;1,"APARTADO",IF(NOW()-$C261&gt;1,"LIBRE","APARTADO"))),"LIBRE"))</f>
        <v/>
      </c>
      <c r="H261" s="15">
        <f>IF($G261&lt;&gt;"APARTADO","",IF(NOT(ISNUMBER($C261)),"FALTA LA HORA",IF($C261&lt;1,"FALTA LA FECHA",TEXT($C261+1,"dd/mm hh:mm"))))</f>
        <v/>
      </c>
    </row>
    <row r="262">
      <c r="A262" s="13" t="inlineStr">
        <is>
          <t>260</t>
        </is>
      </c>
      <c r="B262" t="inlineStr">
        <is>
          <t>LIBRE</t>
        </is>
      </c>
      <c r="C262" s="14" t="n"/>
      <c r="E262" s="15">
        <f>IF($G262&lt;&gt;"PAGADO","",IFERROR(IF(VLOOKUP($A262,COMPRADORES!$A:$D,4,FALSE)="NO","Reservado",LEFT(VLOOKUP($A262,COMPRADORES!$A:$D,2,FALSE),3)&amp;"***"&amp;IF(TRIM(MID(VLOOKUP($A262,COMPRADORES!$A:$D,2,FALSE)&amp;" ",FIND(" ",VLOOKUP($A262,COMPRADORES!$A:$D,2,FALSE)&amp;" ")+1,99))="",""," "&amp;LEFT(TRIM(MID(VLOOKUP($A262,COMPRADORES!$A:$D,2,FALSE)&amp;" ",FIND(" ",VLOOKUP($A262,COMPRADORES!$A:$D,2,FALSE)&amp;" ")+1,99)),1)&amp;".")),""))</f>
        <v/>
      </c>
      <c r="F262" s="16">
        <f>IF($B262="PAGADO",MID("ABCDEFGHIJ",INT(VALUE($A262)/100)+1,1)&amp;"-"&amp;$A262,"")</f>
        <v/>
      </c>
      <c r="G262" s="16">
        <f>IF($B262="PAGADO","PAGADO",IF($B262="APARTADO",IF(NOT(ISNUMBER($C262)),"APARTADO",IF($C262&lt;1,"APARTADO",IF(NOW()-$C262&gt;1,"LIBRE","APARTADO"))),"LIBRE"))</f>
        <v/>
      </c>
      <c r="H262" s="15">
        <f>IF($G262&lt;&gt;"APARTADO","",IF(NOT(ISNUMBER($C262)),"FALTA LA HORA",IF($C262&lt;1,"FALTA LA FECHA",TEXT($C262+1,"dd/mm hh:mm"))))</f>
        <v/>
      </c>
    </row>
    <row r="263">
      <c r="A263" s="13" t="inlineStr">
        <is>
          <t>261</t>
        </is>
      </c>
      <c r="B263" t="inlineStr">
        <is>
          <t>LIBRE</t>
        </is>
      </c>
      <c r="C263" s="14" t="n"/>
      <c r="E263" s="15">
        <f>IF($G263&lt;&gt;"PAGADO","",IFERROR(IF(VLOOKUP($A263,COMPRADORES!$A:$D,4,FALSE)="NO","Reservado",LEFT(VLOOKUP($A263,COMPRADORES!$A:$D,2,FALSE),3)&amp;"***"&amp;IF(TRIM(MID(VLOOKUP($A263,COMPRADORES!$A:$D,2,FALSE)&amp;" ",FIND(" ",VLOOKUP($A263,COMPRADORES!$A:$D,2,FALSE)&amp;" ")+1,99))="",""," "&amp;LEFT(TRIM(MID(VLOOKUP($A263,COMPRADORES!$A:$D,2,FALSE)&amp;" ",FIND(" ",VLOOKUP($A263,COMPRADORES!$A:$D,2,FALSE)&amp;" ")+1,99)),1)&amp;".")),""))</f>
        <v/>
      </c>
      <c r="F263" s="16">
        <f>IF($B263="PAGADO",MID("ABCDEFGHIJ",INT(VALUE($A263)/100)+1,1)&amp;"-"&amp;$A263,"")</f>
        <v/>
      </c>
      <c r="G263" s="16">
        <f>IF($B263="PAGADO","PAGADO",IF($B263="APARTADO",IF(NOT(ISNUMBER($C263)),"APARTADO",IF($C263&lt;1,"APARTADO",IF(NOW()-$C263&gt;1,"LIBRE","APARTADO"))),"LIBRE"))</f>
        <v/>
      </c>
      <c r="H263" s="15">
        <f>IF($G263&lt;&gt;"APARTADO","",IF(NOT(ISNUMBER($C263)),"FALTA LA HORA",IF($C263&lt;1,"FALTA LA FECHA",TEXT($C263+1,"dd/mm hh:mm"))))</f>
        <v/>
      </c>
    </row>
    <row r="264">
      <c r="A264" s="13" t="inlineStr">
        <is>
          <t>262</t>
        </is>
      </c>
      <c r="B264" t="inlineStr">
        <is>
          <t>LIBRE</t>
        </is>
      </c>
      <c r="C264" s="14" t="n"/>
      <c r="E264" s="15">
        <f>IF($G264&lt;&gt;"PAGADO","",IFERROR(IF(VLOOKUP($A264,COMPRADORES!$A:$D,4,FALSE)="NO","Reservado",LEFT(VLOOKUP($A264,COMPRADORES!$A:$D,2,FALSE),3)&amp;"***"&amp;IF(TRIM(MID(VLOOKUP($A264,COMPRADORES!$A:$D,2,FALSE)&amp;" ",FIND(" ",VLOOKUP($A264,COMPRADORES!$A:$D,2,FALSE)&amp;" ")+1,99))="",""," "&amp;LEFT(TRIM(MID(VLOOKUP($A264,COMPRADORES!$A:$D,2,FALSE)&amp;" ",FIND(" ",VLOOKUP($A264,COMPRADORES!$A:$D,2,FALSE)&amp;" ")+1,99)),1)&amp;".")),""))</f>
        <v/>
      </c>
      <c r="F264" s="16">
        <f>IF($B264="PAGADO",MID("ABCDEFGHIJ",INT(VALUE($A264)/100)+1,1)&amp;"-"&amp;$A264,"")</f>
        <v/>
      </c>
      <c r="G264" s="16">
        <f>IF($B264="PAGADO","PAGADO",IF($B264="APARTADO",IF(NOT(ISNUMBER($C264)),"APARTADO",IF($C264&lt;1,"APARTADO",IF(NOW()-$C264&gt;1,"LIBRE","APARTADO"))),"LIBRE"))</f>
        <v/>
      </c>
      <c r="H264" s="15">
        <f>IF($G264&lt;&gt;"APARTADO","",IF(NOT(ISNUMBER($C264)),"FALTA LA HORA",IF($C264&lt;1,"FALTA LA FECHA",TEXT($C264+1,"dd/mm hh:mm"))))</f>
        <v/>
      </c>
    </row>
    <row r="265">
      <c r="A265" s="13" t="inlineStr">
        <is>
          <t>263</t>
        </is>
      </c>
      <c r="B265" t="inlineStr">
        <is>
          <t>LIBRE</t>
        </is>
      </c>
      <c r="C265" s="14" t="n"/>
      <c r="E265" s="15">
        <f>IF($G265&lt;&gt;"PAGADO","",IFERROR(IF(VLOOKUP($A265,COMPRADORES!$A:$D,4,FALSE)="NO","Reservado",LEFT(VLOOKUP($A265,COMPRADORES!$A:$D,2,FALSE),3)&amp;"***"&amp;IF(TRIM(MID(VLOOKUP($A265,COMPRADORES!$A:$D,2,FALSE)&amp;" ",FIND(" ",VLOOKUP($A265,COMPRADORES!$A:$D,2,FALSE)&amp;" ")+1,99))="",""," "&amp;LEFT(TRIM(MID(VLOOKUP($A265,COMPRADORES!$A:$D,2,FALSE)&amp;" ",FIND(" ",VLOOKUP($A265,COMPRADORES!$A:$D,2,FALSE)&amp;" ")+1,99)),1)&amp;".")),""))</f>
        <v/>
      </c>
      <c r="F265" s="16">
        <f>IF($B265="PAGADO",MID("ABCDEFGHIJ",INT(VALUE($A265)/100)+1,1)&amp;"-"&amp;$A265,"")</f>
        <v/>
      </c>
      <c r="G265" s="16">
        <f>IF($B265="PAGADO","PAGADO",IF($B265="APARTADO",IF(NOT(ISNUMBER($C265)),"APARTADO",IF($C265&lt;1,"APARTADO",IF(NOW()-$C265&gt;1,"LIBRE","APARTADO"))),"LIBRE"))</f>
        <v/>
      </c>
      <c r="H265" s="15">
        <f>IF($G265&lt;&gt;"APARTADO","",IF(NOT(ISNUMBER($C265)),"FALTA LA HORA",IF($C265&lt;1,"FALTA LA FECHA",TEXT($C265+1,"dd/mm hh:mm"))))</f>
        <v/>
      </c>
    </row>
    <row r="266">
      <c r="A266" s="13" t="inlineStr">
        <is>
          <t>264</t>
        </is>
      </c>
      <c r="B266" t="inlineStr">
        <is>
          <t>LIBRE</t>
        </is>
      </c>
      <c r="C266" s="14" t="n"/>
      <c r="E266" s="15">
        <f>IF($G266&lt;&gt;"PAGADO","",IFERROR(IF(VLOOKUP($A266,COMPRADORES!$A:$D,4,FALSE)="NO","Reservado",LEFT(VLOOKUP($A266,COMPRADORES!$A:$D,2,FALSE),3)&amp;"***"&amp;IF(TRIM(MID(VLOOKUP($A266,COMPRADORES!$A:$D,2,FALSE)&amp;" ",FIND(" ",VLOOKUP($A266,COMPRADORES!$A:$D,2,FALSE)&amp;" ")+1,99))="",""," "&amp;LEFT(TRIM(MID(VLOOKUP($A266,COMPRADORES!$A:$D,2,FALSE)&amp;" ",FIND(" ",VLOOKUP($A266,COMPRADORES!$A:$D,2,FALSE)&amp;" ")+1,99)),1)&amp;".")),""))</f>
        <v/>
      </c>
      <c r="F266" s="16">
        <f>IF($B266="PAGADO",MID("ABCDEFGHIJ",INT(VALUE($A266)/100)+1,1)&amp;"-"&amp;$A266,"")</f>
        <v/>
      </c>
      <c r="G266" s="16">
        <f>IF($B266="PAGADO","PAGADO",IF($B266="APARTADO",IF(NOT(ISNUMBER($C266)),"APARTADO",IF($C266&lt;1,"APARTADO",IF(NOW()-$C266&gt;1,"LIBRE","APARTADO"))),"LIBRE"))</f>
        <v/>
      </c>
      <c r="H266" s="15">
        <f>IF($G266&lt;&gt;"APARTADO","",IF(NOT(ISNUMBER($C266)),"FALTA LA HORA",IF($C266&lt;1,"FALTA LA FECHA",TEXT($C266+1,"dd/mm hh:mm"))))</f>
        <v/>
      </c>
    </row>
    <row r="267">
      <c r="A267" s="13" t="inlineStr">
        <is>
          <t>265</t>
        </is>
      </c>
      <c r="B267" t="inlineStr">
        <is>
          <t>LIBRE</t>
        </is>
      </c>
      <c r="C267" s="14" t="n"/>
      <c r="E267" s="15">
        <f>IF($G267&lt;&gt;"PAGADO","",IFERROR(IF(VLOOKUP($A267,COMPRADORES!$A:$D,4,FALSE)="NO","Reservado",LEFT(VLOOKUP($A267,COMPRADORES!$A:$D,2,FALSE),3)&amp;"***"&amp;IF(TRIM(MID(VLOOKUP($A267,COMPRADORES!$A:$D,2,FALSE)&amp;" ",FIND(" ",VLOOKUP($A267,COMPRADORES!$A:$D,2,FALSE)&amp;" ")+1,99))="",""," "&amp;LEFT(TRIM(MID(VLOOKUP($A267,COMPRADORES!$A:$D,2,FALSE)&amp;" ",FIND(" ",VLOOKUP($A267,COMPRADORES!$A:$D,2,FALSE)&amp;" ")+1,99)),1)&amp;".")),""))</f>
        <v/>
      </c>
      <c r="F267" s="16">
        <f>IF($B267="PAGADO",MID("ABCDEFGHIJ",INT(VALUE($A267)/100)+1,1)&amp;"-"&amp;$A267,"")</f>
        <v/>
      </c>
      <c r="G267" s="16">
        <f>IF($B267="PAGADO","PAGADO",IF($B267="APARTADO",IF(NOT(ISNUMBER($C267)),"APARTADO",IF($C267&lt;1,"APARTADO",IF(NOW()-$C267&gt;1,"LIBRE","APARTADO"))),"LIBRE"))</f>
        <v/>
      </c>
      <c r="H267" s="15">
        <f>IF($G267&lt;&gt;"APARTADO","",IF(NOT(ISNUMBER($C267)),"FALTA LA HORA",IF($C267&lt;1,"FALTA LA FECHA",TEXT($C267+1,"dd/mm hh:mm"))))</f>
        <v/>
      </c>
    </row>
    <row r="268">
      <c r="A268" s="13" t="inlineStr">
        <is>
          <t>266</t>
        </is>
      </c>
      <c r="B268" t="inlineStr">
        <is>
          <t>LIBRE</t>
        </is>
      </c>
      <c r="C268" s="14" t="n"/>
      <c r="E268" s="15">
        <f>IF($G268&lt;&gt;"PAGADO","",IFERROR(IF(VLOOKUP($A268,COMPRADORES!$A:$D,4,FALSE)="NO","Reservado",LEFT(VLOOKUP($A268,COMPRADORES!$A:$D,2,FALSE),3)&amp;"***"&amp;IF(TRIM(MID(VLOOKUP($A268,COMPRADORES!$A:$D,2,FALSE)&amp;" ",FIND(" ",VLOOKUP($A268,COMPRADORES!$A:$D,2,FALSE)&amp;" ")+1,99))="",""," "&amp;LEFT(TRIM(MID(VLOOKUP($A268,COMPRADORES!$A:$D,2,FALSE)&amp;" ",FIND(" ",VLOOKUP($A268,COMPRADORES!$A:$D,2,FALSE)&amp;" ")+1,99)),1)&amp;".")),""))</f>
        <v/>
      </c>
      <c r="F268" s="16">
        <f>IF($B268="PAGADO",MID("ABCDEFGHIJ",INT(VALUE($A268)/100)+1,1)&amp;"-"&amp;$A268,"")</f>
        <v/>
      </c>
      <c r="G268" s="16">
        <f>IF($B268="PAGADO","PAGADO",IF($B268="APARTADO",IF(NOT(ISNUMBER($C268)),"APARTADO",IF($C268&lt;1,"APARTADO",IF(NOW()-$C268&gt;1,"LIBRE","APARTADO"))),"LIBRE"))</f>
        <v/>
      </c>
      <c r="H268" s="15">
        <f>IF($G268&lt;&gt;"APARTADO","",IF(NOT(ISNUMBER($C268)),"FALTA LA HORA",IF($C268&lt;1,"FALTA LA FECHA",TEXT($C268+1,"dd/mm hh:mm"))))</f>
        <v/>
      </c>
    </row>
    <row r="269">
      <c r="A269" s="13" t="inlineStr">
        <is>
          <t>267</t>
        </is>
      </c>
      <c r="B269" t="inlineStr">
        <is>
          <t>LIBRE</t>
        </is>
      </c>
      <c r="C269" s="14" t="n"/>
      <c r="E269" s="15">
        <f>IF($G269&lt;&gt;"PAGADO","",IFERROR(IF(VLOOKUP($A269,COMPRADORES!$A:$D,4,FALSE)="NO","Reservado",LEFT(VLOOKUP($A269,COMPRADORES!$A:$D,2,FALSE),3)&amp;"***"&amp;IF(TRIM(MID(VLOOKUP($A269,COMPRADORES!$A:$D,2,FALSE)&amp;" ",FIND(" ",VLOOKUP($A269,COMPRADORES!$A:$D,2,FALSE)&amp;" ")+1,99))="",""," "&amp;LEFT(TRIM(MID(VLOOKUP($A269,COMPRADORES!$A:$D,2,FALSE)&amp;" ",FIND(" ",VLOOKUP($A269,COMPRADORES!$A:$D,2,FALSE)&amp;" ")+1,99)),1)&amp;".")),""))</f>
        <v/>
      </c>
      <c r="F269" s="16">
        <f>IF($B269="PAGADO",MID("ABCDEFGHIJ",INT(VALUE($A269)/100)+1,1)&amp;"-"&amp;$A269,"")</f>
        <v/>
      </c>
      <c r="G269" s="16">
        <f>IF($B269="PAGADO","PAGADO",IF($B269="APARTADO",IF(NOT(ISNUMBER($C269)),"APARTADO",IF($C269&lt;1,"APARTADO",IF(NOW()-$C269&gt;1,"LIBRE","APARTADO"))),"LIBRE"))</f>
        <v/>
      </c>
      <c r="H269" s="15">
        <f>IF($G269&lt;&gt;"APARTADO","",IF(NOT(ISNUMBER($C269)),"FALTA LA HORA",IF($C269&lt;1,"FALTA LA FECHA",TEXT($C269+1,"dd/mm hh:mm"))))</f>
        <v/>
      </c>
    </row>
    <row r="270">
      <c r="A270" s="13" t="inlineStr">
        <is>
          <t>268</t>
        </is>
      </c>
      <c r="B270" t="inlineStr">
        <is>
          <t>LIBRE</t>
        </is>
      </c>
      <c r="C270" s="14" t="n"/>
      <c r="E270" s="15">
        <f>IF($G270&lt;&gt;"PAGADO","",IFERROR(IF(VLOOKUP($A270,COMPRADORES!$A:$D,4,FALSE)="NO","Reservado",LEFT(VLOOKUP($A270,COMPRADORES!$A:$D,2,FALSE),3)&amp;"***"&amp;IF(TRIM(MID(VLOOKUP($A270,COMPRADORES!$A:$D,2,FALSE)&amp;" ",FIND(" ",VLOOKUP($A270,COMPRADORES!$A:$D,2,FALSE)&amp;" ")+1,99))="",""," "&amp;LEFT(TRIM(MID(VLOOKUP($A270,COMPRADORES!$A:$D,2,FALSE)&amp;" ",FIND(" ",VLOOKUP($A270,COMPRADORES!$A:$D,2,FALSE)&amp;" ")+1,99)),1)&amp;".")),""))</f>
        <v/>
      </c>
      <c r="F270" s="16">
        <f>IF($B270="PAGADO",MID("ABCDEFGHIJ",INT(VALUE($A270)/100)+1,1)&amp;"-"&amp;$A270,"")</f>
        <v/>
      </c>
      <c r="G270" s="16">
        <f>IF($B270="PAGADO","PAGADO",IF($B270="APARTADO",IF(NOT(ISNUMBER($C270)),"APARTADO",IF($C270&lt;1,"APARTADO",IF(NOW()-$C270&gt;1,"LIBRE","APARTADO"))),"LIBRE"))</f>
        <v/>
      </c>
      <c r="H270" s="15">
        <f>IF($G270&lt;&gt;"APARTADO","",IF(NOT(ISNUMBER($C270)),"FALTA LA HORA",IF($C270&lt;1,"FALTA LA FECHA",TEXT($C270+1,"dd/mm hh:mm"))))</f>
        <v/>
      </c>
    </row>
    <row r="271">
      <c r="A271" s="13" t="inlineStr">
        <is>
          <t>269</t>
        </is>
      </c>
      <c r="B271" t="inlineStr">
        <is>
          <t>LIBRE</t>
        </is>
      </c>
      <c r="C271" s="14" t="n"/>
      <c r="E271" s="15">
        <f>IF($G271&lt;&gt;"PAGADO","",IFERROR(IF(VLOOKUP($A271,COMPRADORES!$A:$D,4,FALSE)="NO","Reservado",LEFT(VLOOKUP($A271,COMPRADORES!$A:$D,2,FALSE),3)&amp;"***"&amp;IF(TRIM(MID(VLOOKUP($A271,COMPRADORES!$A:$D,2,FALSE)&amp;" ",FIND(" ",VLOOKUP($A271,COMPRADORES!$A:$D,2,FALSE)&amp;" ")+1,99))="",""," "&amp;LEFT(TRIM(MID(VLOOKUP($A271,COMPRADORES!$A:$D,2,FALSE)&amp;" ",FIND(" ",VLOOKUP($A271,COMPRADORES!$A:$D,2,FALSE)&amp;" ")+1,99)),1)&amp;".")),""))</f>
        <v/>
      </c>
      <c r="F271" s="16">
        <f>IF($B271="PAGADO",MID("ABCDEFGHIJ",INT(VALUE($A271)/100)+1,1)&amp;"-"&amp;$A271,"")</f>
        <v/>
      </c>
      <c r="G271" s="16">
        <f>IF($B271="PAGADO","PAGADO",IF($B271="APARTADO",IF(NOT(ISNUMBER($C271)),"APARTADO",IF($C271&lt;1,"APARTADO",IF(NOW()-$C271&gt;1,"LIBRE","APARTADO"))),"LIBRE"))</f>
        <v/>
      </c>
      <c r="H271" s="15">
        <f>IF($G271&lt;&gt;"APARTADO","",IF(NOT(ISNUMBER($C271)),"FALTA LA HORA",IF($C271&lt;1,"FALTA LA FECHA",TEXT($C271+1,"dd/mm hh:mm"))))</f>
        <v/>
      </c>
    </row>
    <row r="272">
      <c r="A272" s="13" t="inlineStr">
        <is>
          <t>270</t>
        </is>
      </c>
      <c r="B272" t="inlineStr">
        <is>
          <t>LIBRE</t>
        </is>
      </c>
      <c r="C272" s="14" t="n"/>
      <c r="E272" s="15">
        <f>IF($G272&lt;&gt;"PAGADO","",IFERROR(IF(VLOOKUP($A272,COMPRADORES!$A:$D,4,FALSE)="NO","Reservado",LEFT(VLOOKUP($A272,COMPRADORES!$A:$D,2,FALSE),3)&amp;"***"&amp;IF(TRIM(MID(VLOOKUP($A272,COMPRADORES!$A:$D,2,FALSE)&amp;" ",FIND(" ",VLOOKUP($A272,COMPRADORES!$A:$D,2,FALSE)&amp;" ")+1,99))="",""," "&amp;LEFT(TRIM(MID(VLOOKUP($A272,COMPRADORES!$A:$D,2,FALSE)&amp;" ",FIND(" ",VLOOKUP($A272,COMPRADORES!$A:$D,2,FALSE)&amp;" ")+1,99)),1)&amp;".")),""))</f>
        <v/>
      </c>
      <c r="F272" s="16">
        <f>IF($B272="PAGADO",MID("ABCDEFGHIJ",INT(VALUE($A272)/100)+1,1)&amp;"-"&amp;$A272,"")</f>
        <v/>
      </c>
      <c r="G272" s="16">
        <f>IF($B272="PAGADO","PAGADO",IF($B272="APARTADO",IF(NOT(ISNUMBER($C272)),"APARTADO",IF($C272&lt;1,"APARTADO",IF(NOW()-$C272&gt;1,"LIBRE","APARTADO"))),"LIBRE"))</f>
        <v/>
      </c>
      <c r="H272" s="15">
        <f>IF($G272&lt;&gt;"APARTADO","",IF(NOT(ISNUMBER($C272)),"FALTA LA HORA",IF($C272&lt;1,"FALTA LA FECHA",TEXT($C272+1,"dd/mm hh:mm"))))</f>
        <v/>
      </c>
    </row>
    <row r="273">
      <c r="A273" s="13" t="inlineStr">
        <is>
          <t>271</t>
        </is>
      </c>
      <c r="B273" t="inlineStr">
        <is>
          <t>LIBRE</t>
        </is>
      </c>
      <c r="C273" s="14" t="n"/>
      <c r="E273" s="15">
        <f>IF($G273&lt;&gt;"PAGADO","",IFERROR(IF(VLOOKUP($A273,COMPRADORES!$A:$D,4,FALSE)="NO","Reservado",LEFT(VLOOKUP($A273,COMPRADORES!$A:$D,2,FALSE),3)&amp;"***"&amp;IF(TRIM(MID(VLOOKUP($A273,COMPRADORES!$A:$D,2,FALSE)&amp;" ",FIND(" ",VLOOKUP($A273,COMPRADORES!$A:$D,2,FALSE)&amp;" ")+1,99))="",""," "&amp;LEFT(TRIM(MID(VLOOKUP($A273,COMPRADORES!$A:$D,2,FALSE)&amp;" ",FIND(" ",VLOOKUP($A273,COMPRADORES!$A:$D,2,FALSE)&amp;" ")+1,99)),1)&amp;".")),""))</f>
        <v/>
      </c>
      <c r="F273" s="16">
        <f>IF($B273="PAGADO",MID("ABCDEFGHIJ",INT(VALUE($A273)/100)+1,1)&amp;"-"&amp;$A273,"")</f>
        <v/>
      </c>
      <c r="G273" s="16">
        <f>IF($B273="PAGADO","PAGADO",IF($B273="APARTADO",IF(NOT(ISNUMBER($C273)),"APARTADO",IF($C273&lt;1,"APARTADO",IF(NOW()-$C273&gt;1,"LIBRE","APARTADO"))),"LIBRE"))</f>
        <v/>
      </c>
      <c r="H273" s="15">
        <f>IF($G273&lt;&gt;"APARTADO","",IF(NOT(ISNUMBER($C273)),"FALTA LA HORA",IF($C273&lt;1,"FALTA LA FECHA",TEXT($C273+1,"dd/mm hh:mm"))))</f>
        <v/>
      </c>
    </row>
    <row r="274">
      <c r="A274" s="13" t="inlineStr">
        <is>
          <t>272</t>
        </is>
      </c>
      <c r="B274" t="inlineStr">
        <is>
          <t>LIBRE</t>
        </is>
      </c>
      <c r="C274" s="14" t="n"/>
      <c r="E274" s="15">
        <f>IF($G274&lt;&gt;"PAGADO","",IFERROR(IF(VLOOKUP($A274,COMPRADORES!$A:$D,4,FALSE)="NO","Reservado",LEFT(VLOOKUP($A274,COMPRADORES!$A:$D,2,FALSE),3)&amp;"***"&amp;IF(TRIM(MID(VLOOKUP($A274,COMPRADORES!$A:$D,2,FALSE)&amp;" ",FIND(" ",VLOOKUP($A274,COMPRADORES!$A:$D,2,FALSE)&amp;" ")+1,99))="",""," "&amp;LEFT(TRIM(MID(VLOOKUP($A274,COMPRADORES!$A:$D,2,FALSE)&amp;" ",FIND(" ",VLOOKUP($A274,COMPRADORES!$A:$D,2,FALSE)&amp;" ")+1,99)),1)&amp;".")),""))</f>
        <v/>
      </c>
      <c r="F274" s="16">
        <f>IF($B274="PAGADO",MID("ABCDEFGHIJ",INT(VALUE($A274)/100)+1,1)&amp;"-"&amp;$A274,"")</f>
        <v/>
      </c>
      <c r="G274" s="16">
        <f>IF($B274="PAGADO","PAGADO",IF($B274="APARTADO",IF(NOT(ISNUMBER($C274)),"APARTADO",IF($C274&lt;1,"APARTADO",IF(NOW()-$C274&gt;1,"LIBRE","APARTADO"))),"LIBRE"))</f>
        <v/>
      </c>
      <c r="H274" s="15">
        <f>IF($G274&lt;&gt;"APARTADO","",IF(NOT(ISNUMBER($C274)),"FALTA LA HORA",IF($C274&lt;1,"FALTA LA FECHA",TEXT($C274+1,"dd/mm hh:mm"))))</f>
        <v/>
      </c>
    </row>
    <row r="275">
      <c r="A275" s="13" t="inlineStr">
        <is>
          <t>273</t>
        </is>
      </c>
      <c r="B275" t="inlineStr">
        <is>
          <t>LIBRE</t>
        </is>
      </c>
      <c r="C275" s="14" t="n"/>
      <c r="E275" s="15">
        <f>IF($G275&lt;&gt;"PAGADO","",IFERROR(IF(VLOOKUP($A275,COMPRADORES!$A:$D,4,FALSE)="NO","Reservado",LEFT(VLOOKUP($A275,COMPRADORES!$A:$D,2,FALSE),3)&amp;"***"&amp;IF(TRIM(MID(VLOOKUP($A275,COMPRADORES!$A:$D,2,FALSE)&amp;" ",FIND(" ",VLOOKUP($A275,COMPRADORES!$A:$D,2,FALSE)&amp;" ")+1,99))="",""," "&amp;LEFT(TRIM(MID(VLOOKUP($A275,COMPRADORES!$A:$D,2,FALSE)&amp;" ",FIND(" ",VLOOKUP($A275,COMPRADORES!$A:$D,2,FALSE)&amp;" ")+1,99)),1)&amp;".")),""))</f>
        <v/>
      </c>
      <c r="F275" s="16">
        <f>IF($B275="PAGADO",MID("ABCDEFGHIJ",INT(VALUE($A275)/100)+1,1)&amp;"-"&amp;$A275,"")</f>
        <v/>
      </c>
      <c r="G275" s="16">
        <f>IF($B275="PAGADO","PAGADO",IF($B275="APARTADO",IF(NOT(ISNUMBER($C275)),"APARTADO",IF($C275&lt;1,"APARTADO",IF(NOW()-$C275&gt;1,"LIBRE","APARTADO"))),"LIBRE"))</f>
        <v/>
      </c>
      <c r="H275" s="15">
        <f>IF($G275&lt;&gt;"APARTADO","",IF(NOT(ISNUMBER($C275)),"FALTA LA HORA",IF($C275&lt;1,"FALTA LA FECHA",TEXT($C275+1,"dd/mm hh:mm"))))</f>
        <v/>
      </c>
    </row>
    <row r="276">
      <c r="A276" s="13" t="inlineStr">
        <is>
          <t>274</t>
        </is>
      </c>
      <c r="B276" t="inlineStr">
        <is>
          <t>LIBRE</t>
        </is>
      </c>
      <c r="C276" s="14" t="n"/>
      <c r="E276" s="15">
        <f>IF($G276&lt;&gt;"PAGADO","",IFERROR(IF(VLOOKUP($A276,COMPRADORES!$A:$D,4,FALSE)="NO","Reservado",LEFT(VLOOKUP($A276,COMPRADORES!$A:$D,2,FALSE),3)&amp;"***"&amp;IF(TRIM(MID(VLOOKUP($A276,COMPRADORES!$A:$D,2,FALSE)&amp;" ",FIND(" ",VLOOKUP($A276,COMPRADORES!$A:$D,2,FALSE)&amp;" ")+1,99))="",""," "&amp;LEFT(TRIM(MID(VLOOKUP($A276,COMPRADORES!$A:$D,2,FALSE)&amp;" ",FIND(" ",VLOOKUP($A276,COMPRADORES!$A:$D,2,FALSE)&amp;" ")+1,99)),1)&amp;".")),""))</f>
        <v/>
      </c>
      <c r="F276" s="16">
        <f>IF($B276="PAGADO",MID("ABCDEFGHIJ",INT(VALUE($A276)/100)+1,1)&amp;"-"&amp;$A276,"")</f>
        <v/>
      </c>
      <c r="G276" s="16">
        <f>IF($B276="PAGADO","PAGADO",IF($B276="APARTADO",IF(NOT(ISNUMBER($C276)),"APARTADO",IF($C276&lt;1,"APARTADO",IF(NOW()-$C276&gt;1,"LIBRE","APARTADO"))),"LIBRE"))</f>
        <v/>
      </c>
      <c r="H276" s="15">
        <f>IF($G276&lt;&gt;"APARTADO","",IF(NOT(ISNUMBER($C276)),"FALTA LA HORA",IF($C276&lt;1,"FALTA LA FECHA",TEXT($C276+1,"dd/mm hh:mm"))))</f>
        <v/>
      </c>
    </row>
    <row r="277">
      <c r="A277" s="13" t="inlineStr">
        <is>
          <t>275</t>
        </is>
      </c>
      <c r="B277" t="inlineStr">
        <is>
          <t>LIBRE</t>
        </is>
      </c>
      <c r="C277" s="14" t="n"/>
      <c r="E277" s="15">
        <f>IF($G277&lt;&gt;"PAGADO","",IFERROR(IF(VLOOKUP($A277,COMPRADORES!$A:$D,4,FALSE)="NO","Reservado",LEFT(VLOOKUP($A277,COMPRADORES!$A:$D,2,FALSE),3)&amp;"***"&amp;IF(TRIM(MID(VLOOKUP($A277,COMPRADORES!$A:$D,2,FALSE)&amp;" ",FIND(" ",VLOOKUP($A277,COMPRADORES!$A:$D,2,FALSE)&amp;" ")+1,99))="",""," "&amp;LEFT(TRIM(MID(VLOOKUP($A277,COMPRADORES!$A:$D,2,FALSE)&amp;" ",FIND(" ",VLOOKUP($A277,COMPRADORES!$A:$D,2,FALSE)&amp;" ")+1,99)),1)&amp;".")),""))</f>
        <v/>
      </c>
      <c r="F277" s="16">
        <f>IF($B277="PAGADO",MID("ABCDEFGHIJ",INT(VALUE($A277)/100)+1,1)&amp;"-"&amp;$A277,"")</f>
        <v/>
      </c>
      <c r="G277" s="16">
        <f>IF($B277="PAGADO","PAGADO",IF($B277="APARTADO",IF(NOT(ISNUMBER($C277)),"APARTADO",IF($C277&lt;1,"APARTADO",IF(NOW()-$C277&gt;1,"LIBRE","APARTADO"))),"LIBRE"))</f>
        <v/>
      </c>
      <c r="H277" s="15">
        <f>IF($G277&lt;&gt;"APARTADO","",IF(NOT(ISNUMBER($C277)),"FALTA LA HORA",IF($C277&lt;1,"FALTA LA FECHA",TEXT($C277+1,"dd/mm hh:mm"))))</f>
        <v/>
      </c>
    </row>
    <row r="278">
      <c r="A278" s="13" t="inlineStr">
        <is>
          <t>276</t>
        </is>
      </c>
      <c r="B278" t="inlineStr">
        <is>
          <t>LIBRE</t>
        </is>
      </c>
      <c r="C278" s="14" t="n"/>
      <c r="E278" s="15">
        <f>IF($G278&lt;&gt;"PAGADO","",IFERROR(IF(VLOOKUP($A278,COMPRADORES!$A:$D,4,FALSE)="NO","Reservado",LEFT(VLOOKUP($A278,COMPRADORES!$A:$D,2,FALSE),3)&amp;"***"&amp;IF(TRIM(MID(VLOOKUP($A278,COMPRADORES!$A:$D,2,FALSE)&amp;" ",FIND(" ",VLOOKUP($A278,COMPRADORES!$A:$D,2,FALSE)&amp;" ")+1,99))="",""," "&amp;LEFT(TRIM(MID(VLOOKUP($A278,COMPRADORES!$A:$D,2,FALSE)&amp;" ",FIND(" ",VLOOKUP($A278,COMPRADORES!$A:$D,2,FALSE)&amp;" ")+1,99)),1)&amp;".")),""))</f>
        <v/>
      </c>
      <c r="F278" s="16">
        <f>IF($B278="PAGADO",MID("ABCDEFGHIJ",INT(VALUE($A278)/100)+1,1)&amp;"-"&amp;$A278,"")</f>
        <v/>
      </c>
      <c r="G278" s="16">
        <f>IF($B278="PAGADO","PAGADO",IF($B278="APARTADO",IF(NOT(ISNUMBER($C278)),"APARTADO",IF($C278&lt;1,"APARTADO",IF(NOW()-$C278&gt;1,"LIBRE","APARTADO"))),"LIBRE"))</f>
        <v/>
      </c>
      <c r="H278" s="15">
        <f>IF($G278&lt;&gt;"APARTADO","",IF(NOT(ISNUMBER($C278)),"FALTA LA HORA",IF($C278&lt;1,"FALTA LA FECHA",TEXT($C278+1,"dd/mm hh:mm"))))</f>
        <v/>
      </c>
    </row>
    <row r="279">
      <c r="A279" s="13" t="inlineStr">
        <is>
          <t>277</t>
        </is>
      </c>
      <c r="B279" t="inlineStr">
        <is>
          <t>LIBRE</t>
        </is>
      </c>
      <c r="C279" s="14" t="n"/>
      <c r="E279" s="15">
        <f>IF($G279&lt;&gt;"PAGADO","",IFERROR(IF(VLOOKUP($A279,COMPRADORES!$A:$D,4,FALSE)="NO","Reservado",LEFT(VLOOKUP($A279,COMPRADORES!$A:$D,2,FALSE),3)&amp;"***"&amp;IF(TRIM(MID(VLOOKUP($A279,COMPRADORES!$A:$D,2,FALSE)&amp;" ",FIND(" ",VLOOKUP($A279,COMPRADORES!$A:$D,2,FALSE)&amp;" ")+1,99))="",""," "&amp;LEFT(TRIM(MID(VLOOKUP($A279,COMPRADORES!$A:$D,2,FALSE)&amp;" ",FIND(" ",VLOOKUP($A279,COMPRADORES!$A:$D,2,FALSE)&amp;" ")+1,99)),1)&amp;".")),""))</f>
        <v/>
      </c>
      <c r="F279" s="16">
        <f>IF($B279="PAGADO",MID("ABCDEFGHIJ",INT(VALUE($A279)/100)+1,1)&amp;"-"&amp;$A279,"")</f>
        <v/>
      </c>
      <c r="G279" s="16">
        <f>IF($B279="PAGADO","PAGADO",IF($B279="APARTADO",IF(NOT(ISNUMBER($C279)),"APARTADO",IF($C279&lt;1,"APARTADO",IF(NOW()-$C279&gt;1,"LIBRE","APARTADO"))),"LIBRE"))</f>
        <v/>
      </c>
      <c r="H279" s="15">
        <f>IF($G279&lt;&gt;"APARTADO","",IF(NOT(ISNUMBER($C279)),"FALTA LA HORA",IF($C279&lt;1,"FALTA LA FECHA",TEXT($C279+1,"dd/mm hh:mm"))))</f>
        <v/>
      </c>
    </row>
    <row r="280">
      <c r="A280" s="13" t="inlineStr">
        <is>
          <t>278</t>
        </is>
      </c>
      <c r="B280" t="inlineStr">
        <is>
          <t>LIBRE</t>
        </is>
      </c>
      <c r="C280" s="14" t="n"/>
      <c r="E280" s="15">
        <f>IF($G280&lt;&gt;"PAGADO","",IFERROR(IF(VLOOKUP($A280,COMPRADORES!$A:$D,4,FALSE)="NO","Reservado",LEFT(VLOOKUP($A280,COMPRADORES!$A:$D,2,FALSE),3)&amp;"***"&amp;IF(TRIM(MID(VLOOKUP($A280,COMPRADORES!$A:$D,2,FALSE)&amp;" ",FIND(" ",VLOOKUP($A280,COMPRADORES!$A:$D,2,FALSE)&amp;" ")+1,99))="",""," "&amp;LEFT(TRIM(MID(VLOOKUP($A280,COMPRADORES!$A:$D,2,FALSE)&amp;" ",FIND(" ",VLOOKUP($A280,COMPRADORES!$A:$D,2,FALSE)&amp;" ")+1,99)),1)&amp;".")),""))</f>
        <v/>
      </c>
      <c r="F280" s="16">
        <f>IF($B280="PAGADO",MID("ABCDEFGHIJ",INT(VALUE($A280)/100)+1,1)&amp;"-"&amp;$A280,"")</f>
        <v/>
      </c>
      <c r="G280" s="16">
        <f>IF($B280="PAGADO","PAGADO",IF($B280="APARTADO",IF(NOT(ISNUMBER($C280)),"APARTADO",IF($C280&lt;1,"APARTADO",IF(NOW()-$C280&gt;1,"LIBRE","APARTADO"))),"LIBRE"))</f>
        <v/>
      </c>
      <c r="H280" s="15">
        <f>IF($G280&lt;&gt;"APARTADO","",IF(NOT(ISNUMBER($C280)),"FALTA LA HORA",IF($C280&lt;1,"FALTA LA FECHA",TEXT($C280+1,"dd/mm hh:mm"))))</f>
        <v/>
      </c>
    </row>
    <row r="281">
      <c r="A281" s="13" t="inlineStr">
        <is>
          <t>279</t>
        </is>
      </c>
      <c r="B281" t="inlineStr">
        <is>
          <t>LIBRE</t>
        </is>
      </c>
      <c r="C281" s="14" t="n"/>
      <c r="E281" s="15">
        <f>IF($G281&lt;&gt;"PAGADO","",IFERROR(IF(VLOOKUP($A281,COMPRADORES!$A:$D,4,FALSE)="NO","Reservado",LEFT(VLOOKUP($A281,COMPRADORES!$A:$D,2,FALSE),3)&amp;"***"&amp;IF(TRIM(MID(VLOOKUP($A281,COMPRADORES!$A:$D,2,FALSE)&amp;" ",FIND(" ",VLOOKUP($A281,COMPRADORES!$A:$D,2,FALSE)&amp;" ")+1,99))="",""," "&amp;LEFT(TRIM(MID(VLOOKUP($A281,COMPRADORES!$A:$D,2,FALSE)&amp;" ",FIND(" ",VLOOKUP($A281,COMPRADORES!$A:$D,2,FALSE)&amp;" ")+1,99)),1)&amp;".")),""))</f>
        <v/>
      </c>
      <c r="F281" s="16">
        <f>IF($B281="PAGADO",MID("ABCDEFGHIJ",INT(VALUE($A281)/100)+1,1)&amp;"-"&amp;$A281,"")</f>
        <v/>
      </c>
      <c r="G281" s="16">
        <f>IF($B281="PAGADO","PAGADO",IF($B281="APARTADO",IF(NOT(ISNUMBER($C281)),"APARTADO",IF($C281&lt;1,"APARTADO",IF(NOW()-$C281&gt;1,"LIBRE","APARTADO"))),"LIBRE"))</f>
        <v/>
      </c>
      <c r="H281" s="15">
        <f>IF($G281&lt;&gt;"APARTADO","",IF(NOT(ISNUMBER($C281)),"FALTA LA HORA",IF($C281&lt;1,"FALTA LA FECHA",TEXT($C281+1,"dd/mm hh:mm"))))</f>
        <v/>
      </c>
    </row>
    <row r="282">
      <c r="A282" s="13" t="inlineStr">
        <is>
          <t>280</t>
        </is>
      </c>
      <c r="B282" t="inlineStr">
        <is>
          <t>LIBRE</t>
        </is>
      </c>
      <c r="C282" s="14" t="n"/>
      <c r="E282" s="15">
        <f>IF($G282&lt;&gt;"PAGADO","",IFERROR(IF(VLOOKUP($A282,COMPRADORES!$A:$D,4,FALSE)="NO","Reservado",LEFT(VLOOKUP($A282,COMPRADORES!$A:$D,2,FALSE),3)&amp;"***"&amp;IF(TRIM(MID(VLOOKUP($A282,COMPRADORES!$A:$D,2,FALSE)&amp;" ",FIND(" ",VLOOKUP($A282,COMPRADORES!$A:$D,2,FALSE)&amp;" ")+1,99))="",""," "&amp;LEFT(TRIM(MID(VLOOKUP($A282,COMPRADORES!$A:$D,2,FALSE)&amp;" ",FIND(" ",VLOOKUP($A282,COMPRADORES!$A:$D,2,FALSE)&amp;" ")+1,99)),1)&amp;".")),""))</f>
        <v/>
      </c>
      <c r="F282" s="16">
        <f>IF($B282="PAGADO",MID("ABCDEFGHIJ",INT(VALUE($A282)/100)+1,1)&amp;"-"&amp;$A282,"")</f>
        <v/>
      </c>
      <c r="G282" s="16">
        <f>IF($B282="PAGADO","PAGADO",IF($B282="APARTADO",IF(NOT(ISNUMBER($C282)),"APARTADO",IF($C282&lt;1,"APARTADO",IF(NOW()-$C282&gt;1,"LIBRE","APARTADO"))),"LIBRE"))</f>
        <v/>
      </c>
      <c r="H282" s="15">
        <f>IF($G282&lt;&gt;"APARTADO","",IF(NOT(ISNUMBER($C282)),"FALTA LA HORA",IF($C282&lt;1,"FALTA LA FECHA",TEXT($C282+1,"dd/mm hh:mm"))))</f>
        <v/>
      </c>
    </row>
    <row r="283">
      <c r="A283" s="13" t="inlineStr">
        <is>
          <t>281</t>
        </is>
      </c>
      <c r="B283" t="inlineStr">
        <is>
          <t>LIBRE</t>
        </is>
      </c>
      <c r="C283" s="14" t="n"/>
      <c r="E283" s="15">
        <f>IF($G283&lt;&gt;"PAGADO","",IFERROR(IF(VLOOKUP($A283,COMPRADORES!$A:$D,4,FALSE)="NO","Reservado",LEFT(VLOOKUP($A283,COMPRADORES!$A:$D,2,FALSE),3)&amp;"***"&amp;IF(TRIM(MID(VLOOKUP($A283,COMPRADORES!$A:$D,2,FALSE)&amp;" ",FIND(" ",VLOOKUP($A283,COMPRADORES!$A:$D,2,FALSE)&amp;" ")+1,99))="",""," "&amp;LEFT(TRIM(MID(VLOOKUP($A283,COMPRADORES!$A:$D,2,FALSE)&amp;" ",FIND(" ",VLOOKUP($A283,COMPRADORES!$A:$D,2,FALSE)&amp;" ")+1,99)),1)&amp;".")),""))</f>
        <v/>
      </c>
      <c r="F283" s="16">
        <f>IF($B283="PAGADO",MID("ABCDEFGHIJ",INT(VALUE($A283)/100)+1,1)&amp;"-"&amp;$A283,"")</f>
        <v/>
      </c>
      <c r="G283" s="16">
        <f>IF($B283="PAGADO","PAGADO",IF($B283="APARTADO",IF(NOT(ISNUMBER($C283)),"APARTADO",IF($C283&lt;1,"APARTADO",IF(NOW()-$C283&gt;1,"LIBRE","APARTADO"))),"LIBRE"))</f>
        <v/>
      </c>
      <c r="H283" s="15">
        <f>IF($G283&lt;&gt;"APARTADO","",IF(NOT(ISNUMBER($C283)),"FALTA LA HORA",IF($C283&lt;1,"FALTA LA FECHA",TEXT($C283+1,"dd/mm hh:mm"))))</f>
        <v/>
      </c>
    </row>
    <row r="284">
      <c r="A284" s="13" t="inlineStr">
        <is>
          <t>282</t>
        </is>
      </c>
      <c r="B284" t="inlineStr">
        <is>
          <t>LIBRE</t>
        </is>
      </c>
      <c r="C284" s="14" t="n"/>
      <c r="E284" s="15">
        <f>IF($G284&lt;&gt;"PAGADO","",IFERROR(IF(VLOOKUP($A284,COMPRADORES!$A:$D,4,FALSE)="NO","Reservado",LEFT(VLOOKUP($A284,COMPRADORES!$A:$D,2,FALSE),3)&amp;"***"&amp;IF(TRIM(MID(VLOOKUP($A284,COMPRADORES!$A:$D,2,FALSE)&amp;" ",FIND(" ",VLOOKUP($A284,COMPRADORES!$A:$D,2,FALSE)&amp;" ")+1,99))="",""," "&amp;LEFT(TRIM(MID(VLOOKUP($A284,COMPRADORES!$A:$D,2,FALSE)&amp;" ",FIND(" ",VLOOKUP($A284,COMPRADORES!$A:$D,2,FALSE)&amp;" ")+1,99)),1)&amp;".")),""))</f>
        <v/>
      </c>
      <c r="F284" s="16">
        <f>IF($B284="PAGADO",MID("ABCDEFGHIJ",INT(VALUE($A284)/100)+1,1)&amp;"-"&amp;$A284,"")</f>
        <v/>
      </c>
      <c r="G284" s="16">
        <f>IF($B284="PAGADO","PAGADO",IF($B284="APARTADO",IF(NOT(ISNUMBER($C284)),"APARTADO",IF($C284&lt;1,"APARTADO",IF(NOW()-$C284&gt;1,"LIBRE","APARTADO"))),"LIBRE"))</f>
        <v/>
      </c>
      <c r="H284" s="15">
        <f>IF($G284&lt;&gt;"APARTADO","",IF(NOT(ISNUMBER($C284)),"FALTA LA HORA",IF($C284&lt;1,"FALTA LA FECHA",TEXT($C284+1,"dd/mm hh:mm"))))</f>
        <v/>
      </c>
    </row>
    <row r="285">
      <c r="A285" s="13" t="inlineStr">
        <is>
          <t>283</t>
        </is>
      </c>
      <c r="B285" t="inlineStr">
        <is>
          <t>LIBRE</t>
        </is>
      </c>
      <c r="C285" s="14" t="n"/>
      <c r="E285" s="15">
        <f>IF($G285&lt;&gt;"PAGADO","",IFERROR(IF(VLOOKUP($A285,COMPRADORES!$A:$D,4,FALSE)="NO","Reservado",LEFT(VLOOKUP($A285,COMPRADORES!$A:$D,2,FALSE),3)&amp;"***"&amp;IF(TRIM(MID(VLOOKUP($A285,COMPRADORES!$A:$D,2,FALSE)&amp;" ",FIND(" ",VLOOKUP($A285,COMPRADORES!$A:$D,2,FALSE)&amp;" ")+1,99))="",""," "&amp;LEFT(TRIM(MID(VLOOKUP($A285,COMPRADORES!$A:$D,2,FALSE)&amp;" ",FIND(" ",VLOOKUP($A285,COMPRADORES!$A:$D,2,FALSE)&amp;" ")+1,99)),1)&amp;".")),""))</f>
        <v/>
      </c>
      <c r="F285" s="16">
        <f>IF($B285="PAGADO",MID("ABCDEFGHIJ",INT(VALUE($A285)/100)+1,1)&amp;"-"&amp;$A285,"")</f>
        <v/>
      </c>
      <c r="G285" s="16">
        <f>IF($B285="PAGADO","PAGADO",IF($B285="APARTADO",IF(NOT(ISNUMBER($C285)),"APARTADO",IF($C285&lt;1,"APARTADO",IF(NOW()-$C285&gt;1,"LIBRE","APARTADO"))),"LIBRE"))</f>
        <v/>
      </c>
      <c r="H285" s="15">
        <f>IF($G285&lt;&gt;"APARTADO","",IF(NOT(ISNUMBER($C285)),"FALTA LA HORA",IF($C285&lt;1,"FALTA LA FECHA",TEXT($C285+1,"dd/mm hh:mm"))))</f>
        <v/>
      </c>
    </row>
    <row r="286">
      <c r="A286" s="13" t="inlineStr">
        <is>
          <t>284</t>
        </is>
      </c>
      <c r="B286" t="inlineStr">
        <is>
          <t>LIBRE</t>
        </is>
      </c>
      <c r="C286" s="14" t="n"/>
      <c r="E286" s="15">
        <f>IF($G286&lt;&gt;"PAGADO","",IFERROR(IF(VLOOKUP($A286,COMPRADORES!$A:$D,4,FALSE)="NO","Reservado",LEFT(VLOOKUP($A286,COMPRADORES!$A:$D,2,FALSE),3)&amp;"***"&amp;IF(TRIM(MID(VLOOKUP($A286,COMPRADORES!$A:$D,2,FALSE)&amp;" ",FIND(" ",VLOOKUP($A286,COMPRADORES!$A:$D,2,FALSE)&amp;" ")+1,99))="",""," "&amp;LEFT(TRIM(MID(VLOOKUP($A286,COMPRADORES!$A:$D,2,FALSE)&amp;" ",FIND(" ",VLOOKUP($A286,COMPRADORES!$A:$D,2,FALSE)&amp;" ")+1,99)),1)&amp;".")),""))</f>
        <v/>
      </c>
      <c r="F286" s="16">
        <f>IF($B286="PAGADO",MID("ABCDEFGHIJ",INT(VALUE($A286)/100)+1,1)&amp;"-"&amp;$A286,"")</f>
        <v/>
      </c>
      <c r="G286" s="16">
        <f>IF($B286="PAGADO","PAGADO",IF($B286="APARTADO",IF(NOT(ISNUMBER($C286)),"APARTADO",IF($C286&lt;1,"APARTADO",IF(NOW()-$C286&gt;1,"LIBRE","APARTADO"))),"LIBRE"))</f>
        <v/>
      </c>
      <c r="H286" s="15">
        <f>IF($G286&lt;&gt;"APARTADO","",IF(NOT(ISNUMBER($C286)),"FALTA LA HORA",IF($C286&lt;1,"FALTA LA FECHA",TEXT($C286+1,"dd/mm hh:mm"))))</f>
        <v/>
      </c>
    </row>
    <row r="287">
      <c r="A287" s="13" t="inlineStr">
        <is>
          <t>285</t>
        </is>
      </c>
      <c r="B287" t="inlineStr">
        <is>
          <t>LIBRE</t>
        </is>
      </c>
      <c r="C287" s="14" t="n"/>
      <c r="E287" s="15">
        <f>IF($G287&lt;&gt;"PAGADO","",IFERROR(IF(VLOOKUP($A287,COMPRADORES!$A:$D,4,FALSE)="NO","Reservado",LEFT(VLOOKUP($A287,COMPRADORES!$A:$D,2,FALSE),3)&amp;"***"&amp;IF(TRIM(MID(VLOOKUP($A287,COMPRADORES!$A:$D,2,FALSE)&amp;" ",FIND(" ",VLOOKUP($A287,COMPRADORES!$A:$D,2,FALSE)&amp;" ")+1,99))="",""," "&amp;LEFT(TRIM(MID(VLOOKUP($A287,COMPRADORES!$A:$D,2,FALSE)&amp;" ",FIND(" ",VLOOKUP($A287,COMPRADORES!$A:$D,2,FALSE)&amp;" ")+1,99)),1)&amp;".")),""))</f>
        <v/>
      </c>
      <c r="F287" s="16">
        <f>IF($B287="PAGADO",MID("ABCDEFGHIJ",INT(VALUE($A287)/100)+1,1)&amp;"-"&amp;$A287,"")</f>
        <v/>
      </c>
      <c r="G287" s="16">
        <f>IF($B287="PAGADO","PAGADO",IF($B287="APARTADO",IF(NOT(ISNUMBER($C287)),"APARTADO",IF($C287&lt;1,"APARTADO",IF(NOW()-$C287&gt;1,"LIBRE","APARTADO"))),"LIBRE"))</f>
        <v/>
      </c>
      <c r="H287" s="15">
        <f>IF($G287&lt;&gt;"APARTADO","",IF(NOT(ISNUMBER($C287)),"FALTA LA HORA",IF($C287&lt;1,"FALTA LA FECHA",TEXT($C287+1,"dd/mm hh:mm"))))</f>
        <v/>
      </c>
    </row>
    <row r="288">
      <c r="A288" s="13" t="inlineStr">
        <is>
          <t>286</t>
        </is>
      </c>
      <c r="B288" t="inlineStr">
        <is>
          <t>LIBRE</t>
        </is>
      </c>
      <c r="C288" s="14" t="n"/>
      <c r="E288" s="15">
        <f>IF($G288&lt;&gt;"PAGADO","",IFERROR(IF(VLOOKUP($A288,COMPRADORES!$A:$D,4,FALSE)="NO","Reservado",LEFT(VLOOKUP($A288,COMPRADORES!$A:$D,2,FALSE),3)&amp;"***"&amp;IF(TRIM(MID(VLOOKUP($A288,COMPRADORES!$A:$D,2,FALSE)&amp;" ",FIND(" ",VLOOKUP($A288,COMPRADORES!$A:$D,2,FALSE)&amp;" ")+1,99))="",""," "&amp;LEFT(TRIM(MID(VLOOKUP($A288,COMPRADORES!$A:$D,2,FALSE)&amp;" ",FIND(" ",VLOOKUP($A288,COMPRADORES!$A:$D,2,FALSE)&amp;" ")+1,99)),1)&amp;".")),""))</f>
        <v/>
      </c>
      <c r="F288" s="16">
        <f>IF($B288="PAGADO",MID("ABCDEFGHIJ",INT(VALUE($A288)/100)+1,1)&amp;"-"&amp;$A288,"")</f>
        <v/>
      </c>
      <c r="G288" s="16">
        <f>IF($B288="PAGADO","PAGADO",IF($B288="APARTADO",IF(NOT(ISNUMBER($C288)),"APARTADO",IF($C288&lt;1,"APARTADO",IF(NOW()-$C288&gt;1,"LIBRE","APARTADO"))),"LIBRE"))</f>
        <v/>
      </c>
      <c r="H288" s="15">
        <f>IF($G288&lt;&gt;"APARTADO","",IF(NOT(ISNUMBER($C288)),"FALTA LA HORA",IF($C288&lt;1,"FALTA LA FECHA",TEXT($C288+1,"dd/mm hh:mm"))))</f>
        <v/>
      </c>
    </row>
    <row r="289">
      <c r="A289" s="13" t="inlineStr">
        <is>
          <t>287</t>
        </is>
      </c>
      <c r="B289" t="inlineStr">
        <is>
          <t>LIBRE</t>
        </is>
      </c>
      <c r="C289" s="14" t="n"/>
      <c r="E289" s="15">
        <f>IF($G289&lt;&gt;"PAGADO","",IFERROR(IF(VLOOKUP($A289,COMPRADORES!$A:$D,4,FALSE)="NO","Reservado",LEFT(VLOOKUP($A289,COMPRADORES!$A:$D,2,FALSE),3)&amp;"***"&amp;IF(TRIM(MID(VLOOKUP($A289,COMPRADORES!$A:$D,2,FALSE)&amp;" ",FIND(" ",VLOOKUP($A289,COMPRADORES!$A:$D,2,FALSE)&amp;" ")+1,99))="",""," "&amp;LEFT(TRIM(MID(VLOOKUP($A289,COMPRADORES!$A:$D,2,FALSE)&amp;" ",FIND(" ",VLOOKUP($A289,COMPRADORES!$A:$D,2,FALSE)&amp;" ")+1,99)),1)&amp;".")),""))</f>
        <v/>
      </c>
      <c r="F289" s="16">
        <f>IF($B289="PAGADO",MID("ABCDEFGHIJ",INT(VALUE($A289)/100)+1,1)&amp;"-"&amp;$A289,"")</f>
        <v/>
      </c>
      <c r="G289" s="16">
        <f>IF($B289="PAGADO","PAGADO",IF($B289="APARTADO",IF(NOT(ISNUMBER($C289)),"APARTADO",IF($C289&lt;1,"APARTADO",IF(NOW()-$C289&gt;1,"LIBRE","APARTADO"))),"LIBRE"))</f>
        <v/>
      </c>
      <c r="H289" s="15">
        <f>IF($G289&lt;&gt;"APARTADO","",IF(NOT(ISNUMBER($C289)),"FALTA LA HORA",IF($C289&lt;1,"FALTA LA FECHA",TEXT($C289+1,"dd/mm hh:mm"))))</f>
        <v/>
      </c>
    </row>
    <row r="290">
      <c r="A290" s="13" t="inlineStr">
        <is>
          <t>288</t>
        </is>
      </c>
      <c r="B290" t="inlineStr">
        <is>
          <t>LIBRE</t>
        </is>
      </c>
      <c r="C290" s="14" t="n"/>
      <c r="E290" s="15">
        <f>IF($G290&lt;&gt;"PAGADO","",IFERROR(IF(VLOOKUP($A290,COMPRADORES!$A:$D,4,FALSE)="NO","Reservado",LEFT(VLOOKUP($A290,COMPRADORES!$A:$D,2,FALSE),3)&amp;"***"&amp;IF(TRIM(MID(VLOOKUP($A290,COMPRADORES!$A:$D,2,FALSE)&amp;" ",FIND(" ",VLOOKUP($A290,COMPRADORES!$A:$D,2,FALSE)&amp;" ")+1,99))="",""," "&amp;LEFT(TRIM(MID(VLOOKUP($A290,COMPRADORES!$A:$D,2,FALSE)&amp;" ",FIND(" ",VLOOKUP($A290,COMPRADORES!$A:$D,2,FALSE)&amp;" ")+1,99)),1)&amp;".")),""))</f>
        <v/>
      </c>
      <c r="F290" s="16">
        <f>IF($B290="PAGADO",MID("ABCDEFGHIJ",INT(VALUE($A290)/100)+1,1)&amp;"-"&amp;$A290,"")</f>
        <v/>
      </c>
      <c r="G290" s="16">
        <f>IF($B290="PAGADO","PAGADO",IF($B290="APARTADO",IF(NOT(ISNUMBER($C290)),"APARTADO",IF($C290&lt;1,"APARTADO",IF(NOW()-$C290&gt;1,"LIBRE","APARTADO"))),"LIBRE"))</f>
        <v/>
      </c>
      <c r="H290" s="15">
        <f>IF($G290&lt;&gt;"APARTADO","",IF(NOT(ISNUMBER($C290)),"FALTA LA HORA",IF($C290&lt;1,"FALTA LA FECHA",TEXT($C290+1,"dd/mm hh:mm"))))</f>
        <v/>
      </c>
    </row>
    <row r="291">
      <c r="A291" s="13" t="inlineStr">
        <is>
          <t>289</t>
        </is>
      </c>
      <c r="B291" t="inlineStr">
        <is>
          <t>LIBRE</t>
        </is>
      </c>
      <c r="C291" s="14" t="n"/>
      <c r="E291" s="15">
        <f>IF($G291&lt;&gt;"PAGADO","",IFERROR(IF(VLOOKUP($A291,COMPRADORES!$A:$D,4,FALSE)="NO","Reservado",LEFT(VLOOKUP($A291,COMPRADORES!$A:$D,2,FALSE),3)&amp;"***"&amp;IF(TRIM(MID(VLOOKUP($A291,COMPRADORES!$A:$D,2,FALSE)&amp;" ",FIND(" ",VLOOKUP($A291,COMPRADORES!$A:$D,2,FALSE)&amp;" ")+1,99))="",""," "&amp;LEFT(TRIM(MID(VLOOKUP($A291,COMPRADORES!$A:$D,2,FALSE)&amp;" ",FIND(" ",VLOOKUP($A291,COMPRADORES!$A:$D,2,FALSE)&amp;" ")+1,99)),1)&amp;".")),""))</f>
        <v/>
      </c>
      <c r="F291" s="16">
        <f>IF($B291="PAGADO",MID("ABCDEFGHIJ",INT(VALUE($A291)/100)+1,1)&amp;"-"&amp;$A291,"")</f>
        <v/>
      </c>
      <c r="G291" s="16">
        <f>IF($B291="PAGADO","PAGADO",IF($B291="APARTADO",IF(NOT(ISNUMBER($C291)),"APARTADO",IF($C291&lt;1,"APARTADO",IF(NOW()-$C291&gt;1,"LIBRE","APARTADO"))),"LIBRE"))</f>
        <v/>
      </c>
      <c r="H291" s="15">
        <f>IF($G291&lt;&gt;"APARTADO","",IF(NOT(ISNUMBER($C291)),"FALTA LA HORA",IF($C291&lt;1,"FALTA LA FECHA",TEXT($C291+1,"dd/mm hh:mm"))))</f>
        <v/>
      </c>
    </row>
    <row r="292">
      <c r="A292" s="13" t="inlineStr">
        <is>
          <t>290</t>
        </is>
      </c>
      <c r="B292" t="inlineStr">
        <is>
          <t>LIBRE</t>
        </is>
      </c>
      <c r="C292" s="14" t="n"/>
      <c r="E292" s="15">
        <f>IF($G292&lt;&gt;"PAGADO","",IFERROR(IF(VLOOKUP($A292,COMPRADORES!$A:$D,4,FALSE)="NO","Reservado",LEFT(VLOOKUP($A292,COMPRADORES!$A:$D,2,FALSE),3)&amp;"***"&amp;IF(TRIM(MID(VLOOKUP($A292,COMPRADORES!$A:$D,2,FALSE)&amp;" ",FIND(" ",VLOOKUP($A292,COMPRADORES!$A:$D,2,FALSE)&amp;" ")+1,99))="",""," "&amp;LEFT(TRIM(MID(VLOOKUP($A292,COMPRADORES!$A:$D,2,FALSE)&amp;" ",FIND(" ",VLOOKUP($A292,COMPRADORES!$A:$D,2,FALSE)&amp;" ")+1,99)),1)&amp;".")),""))</f>
        <v/>
      </c>
      <c r="F292" s="16">
        <f>IF($B292="PAGADO",MID("ABCDEFGHIJ",INT(VALUE($A292)/100)+1,1)&amp;"-"&amp;$A292,"")</f>
        <v/>
      </c>
      <c r="G292" s="16">
        <f>IF($B292="PAGADO","PAGADO",IF($B292="APARTADO",IF(NOT(ISNUMBER($C292)),"APARTADO",IF($C292&lt;1,"APARTADO",IF(NOW()-$C292&gt;1,"LIBRE","APARTADO"))),"LIBRE"))</f>
        <v/>
      </c>
      <c r="H292" s="15">
        <f>IF($G292&lt;&gt;"APARTADO","",IF(NOT(ISNUMBER($C292)),"FALTA LA HORA",IF($C292&lt;1,"FALTA LA FECHA",TEXT($C292+1,"dd/mm hh:mm"))))</f>
        <v/>
      </c>
    </row>
    <row r="293">
      <c r="A293" s="13" t="inlineStr">
        <is>
          <t>291</t>
        </is>
      </c>
      <c r="B293" t="inlineStr">
        <is>
          <t>LIBRE</t>
        </is>
      </c>
      <c r="C293" s="14" t="n"/>
      <c r="E293" s="15">
        <f>IF($G293&lt;&gt;"PAGADO","",IFERROR(IF(VLOOKUP($A293,COMPRADORES!$A:$D,4,FALSE)="NO","Reservado",LEFT(VLOOKUP($A293,COMPRADORES!$A:$D,2,FALSE),3)&amp;"***"&amp;IF(TRIM(MID(VLOOKUP($A293,COMPRADORES!$A:$D,2,FALSE)&amp;" ",FIND(" ",VLOOKUP($A293,COMPRADORES!$A:$D,2,FALSE)&amp;" ")+1,99))="",""," "&amp;LEFT(TRIM(MID(VLOOKUP($A293,COMPRADORES!$A:$D,2,FALSE)&amp;" ",FIND(" ",VLOOKUP($A293,COMPRADORES!$A:$D,2,FALSE)&amp;" ")+1,99)),1)&amp;".")),""))</f>
        <v/>
      </c>
      <c r="F293" s="16">
        <f>IF($B293="PAGADO",MID("ABCDEFGHIJ",INT(VALUE($A293)/100)+1,1)&amp;"-"&amp;$A293,"")</f>
        <v/>
      </c>
      <c r="G293" s="16">
        <f>IF($B293="PAGADO","PAGADO",IF($B293="APARTADO",IF(NOT(ISNUMBER($C293)),"APARTADO",IF($C293&lt;1,"APARTADO",IF(NOW()-$C293&gt;1,"LIBRE","APARTADO"))),"LIBRE"))</f>
        <v/>
      </c>
      <c r="H293" s="15">
        <f>IF($G293&lt;&gt;"APARTADO","",IF(NOT(ISNUMBER($C293)),"FALTA LA HORA",IF($C293&lt;1,"FALTA LA FECHA",TEXT($C293+1,"dd/mm hh:mm"))))</f>
        <v/>
      </c>
    </row>
    <row r="294">
      <c r="A294" s="13" t="inlineStr">
        <is>
          <t>292</t>
        </is>
      </c>
      <c r="B294" t="inlineStr">
        <is>
          <t>LIBRE</t>
        </is>
      </c>
      <c r="C294" s="14" t="n"/>
      <c r="E294" s="15">
        <f>IF($G294&lt;&gt;"PAGADO","",IFERROR(IF(VLOOKUP($A294,COMPRADORES!$A:$D,4,FALSE)="NO","Reservado",LEFT(VLOOKUP($A294,COMPRADORES!$A:$D,2,FALSE),3)&amp;"***"&amp;IF(TRIM(MID(VLOOKUP($A294,COMPRADORES!$A:$D,2,FALSE)&amp;" ",FIND(" ",VLOOKUP($A294,COMPRADORES!$A:$D,2,FALSE)&amp;" ")+1,99))="",""," "&amp;LEFT(TRIM(MID(VLOOKUP($A294,COMPRADORES!$A:$D,2,FALSE)&amp;" ",FIND(" ",VLOOKUP($A294,COMPRADORES!$A:$D,2,FALSE)&amp;" ")+1,99)),1)&amp;".")),""))</f>
        <v/>
      </c>
      <c r="F294" s="16">
        <f>IF($B294="PAGADO",MID("ABCDEFGHIJ",INT(VALUE($A294)/100)+1,1)&amp;"-"&amp;$A294,"")</f>
        <v/>
      </c>
      <c r="G294" s="16">
        <f>IF($B294="PAGADO","PAGADO",IF($B294="APARTADO",IF(NOT(ISNUMBER($C294)),"APARTADO",IF($C294&lt;1,"APARTADO",IF(NOW()-$C294&gt;1,"LIBRE","APARTADO"))),"LIBRE"))</f>
        <v/>
      </c>
      <c r="H294" s="15">
        <f>IF($G294&lt;&gt;"APARTADO","",IF(NOT(ISNUMBER($C294)),"FALTA LA HORA",IF($C294&lt;1,"FALTA LA FECHA",TEXT($C294+1,"dd/mm hh:mm"))))</f>
        <v/>
      </c>
    </row>
    <row r="295">
      <c r="A295" s="13" t="inlineStr">
        <is>
          <t>293</t>
        </is>
      </c>
      <c r="B295" t="inlineStr">
        <is>
          <t>LIBRE</t>
        </is>
      </c>
      <c r="C295" s="14" t="n"/>
      <c r="E295" s="15">
        <f>IF($G295&lt;&gt;"PAGADO","",IFERROR(IF(VLOOKUP($A295,COMPRADORES!$A:$D,4,FALSE)="NO","Reservado",LEFT(VLOOKUP($A295,COMPRADORES!$A:$D,2,FALSE),3)&amp;"***"&amp;IF(TRIM(MID(VLOOKUP($A295,COMPRADORES!$A:$D,2,FALSE)&amp;" ",FIND(" ",VLOOKUP($A295,COMPRADORES!$A:$D,2,FALSE)&amp;" ")+1,99))="",""," "&amp;LEFT(TRIM(MID(VLOOKUP($A295,COMPRADORES!$A:$D,2,FALSE)&amp;" ",FIND(" ",VLOOKUP($A295,COMPRADORES!$A:$D,2,FALSE)&amp;" ")+1,99)),1)&amp;".")),""))</f>
        <v/>
      </c>
      <c r="F295" s="16">
        <f>IF($B295="PAGADO",MID("ABCDEFGHIJ",INT(VALUE($A295)/100)+1,1)&amp;"-"&amp;$A295,"")</f>
        <v/>
      </c>
      <c r="G295" s="16">
        <f>IF($B295="PAGADO","PAGADO",IF($B295="APARTADO",IF(NOT(ISNUMBER($C295)),"APARTADO",IF($C295&lt;1,"APARTADO",IF(NOW()-$C295&gt;1,"LIBRE","APARTADO"))),"LIBRE"))</f>
        <v/>
      </c>
      <c r="H295" s="15">
        <f>IF($G295&lt;&gt;"APARTADO","",IF(NOT(ISNUMBER($C295)),"FALTA LA HORA",IF($C295&lt;1,"FALTA LA FECHA",TEXT($C295+1,"dd/mm hh:mm"))))</f>
        <v/>
      </c>
    </row>
    <row r="296">
      <c r="A296" s="13" t="inlineStr">
        <is>
          <t>294</t>
        </is>
      </c>
      <c r="B296" t="inlineStr">
        <is>
          <t>LIBRE</t>
        </is>
      </c>
      <c r="C296" s="14" t="n"/>
      <c r="E296" s="15">
        <f>IF($G296&lt;&gt;"PAGADO","",IFERROR(IF(VLOOKUP($A296,COMPRADORES!$A:$D,4,FALSE)="NO","Reservado",LEFT(VLOOKUP($A296,COMPRADORES!$A:$D,2,FALSE),3)&amp;"***"&amp;IF(TRIM(MID(VLOOKUP($A296,COMPRADORES!$A:$D,2,FALSE)&amp;" ",FIND(" ",VLOOKUP($A296,COMPRADORES!$A:$D,2,FALSE)&amp;" ")+1,99))="",""," "&amp;LEFT(TRIM(MID(VLOOKUP($A296,COMPRADORES!$A:$D,2,FALSE)&amp;" ",FIND(" ",VLOOKUP($A296,COMPRADORES!$A:$D,2,FALSE)&amp;" ")+1,99)),1)&amp;".")),""))</f>
        <v/>
      </c>
      <c r="F296" s="16">
        <f>IF($B296="PAGADO",MID("ABCDEFGHIJ",INT(VALUE($A296)/100)+1,1)&amp;"-"&amp;$A296,"")</f>
        <v/>
      </c>
      <c r="G296" s="16">
        <f>IF($B296="PAGADO","PAGADO",IF($B296="APARTADO",IF(NOT(ISNUMBER($C296)),"APARTADO",IF($C296&lt;1,"APARTADO",IF(NOW()-$C296&gt;1,"LIBRE","APARTADO"))),"LIBRE"))</f>
        <v/>
      </c>
      <c r="H296" s="15">
        <f>IF($G296&lt;&gt;"APARTADO","",IF(NOT(ISNUMBER($C296)),"FALTA LA HORA",IF($C296&lt;1,"FALTA LA FECHA",TEXT($C296+1,"dd/mm hh:mm"))))</f>
        <v/>
      </c>
    </row>
    <row r="297">
      <c r="A297" s="13" t="inlineStr">
        <is>
          <t>295</t>
        </is>
      </c>
      <c r="B297" t="inlineStr">
        <is>
          <t>LIBRE</t>
        </is>
      </c>
      <c r="C297" s="14" t="n"/>
      <c r="E297" s="15">
        <f>IF($G297&lt;&gt;"PAGADO","",IFERROR(IF(VLOOKUP($A297,COMPRADORES!$A:$D,4,FALSE)="NO","Reservado",LEFT(VLOOKUP($A297,COMPRADORES!$A:$D,2,FALSE),3)&amp;"***"&amp;IF(TRIM(MID(VLOOKUP($A297,COMPRADORES!$A:$D,2,FALSE)&amp;" ",FIND(" ",VLOOKUP($A297,COMPRADORES!$A:$D,2,FALSE)&amp;" ")+1,99))="",""," "&amp;LEFT(TRIM(MID(VLOOKUP($A297,COMPRADORES!$A:$D,2,FALSE)&amp;" ",FIND(" ",VLOOKUP($A297,COMPRADORES!$A:$D,2,FALSE)&amp;" ")+1,99)),1)&amp;".")),""))</f>
        <v/>
      </c>
      <c r="F297" s="16">
        <f>IF($B297="PAGADO",MID("ABCDEFGHIJ",INT(VALUE($A297)/100)+1,1)&amp;"-"&amp;$A297,"")</f>
        <v/>
      </c>
      <c r="G297" s="16">
        <f>IF($B297="PAGADO","PAGADO",IF($B297="APARTADO",IF(NOT(ISNUMBER($C297)),"APARTADO",IF($C297&lt;1,"APARTADO",IF(NOW()-$C297&gt;1,"LIBRE","APARTADO"))),"LIBRE"))</f>
        <v/>
      </c>
      <c r="H297" s="15">
        <f>IF($G297&lt;&gt;"APARTADO","",IF(NOT(ISNUMBER($C297)),"FALTA LA HORA",IF($C297&lt;1,"FALTA LA FECHA",TEXT($C297+1,"dd/mm hh:mm"))))</f>
        <v/>
      </c>
    </row>
    <row r="298">
      <c r="A298" s="13" t="inlineStr">
        <is>
          <t>296</t>
        </is>
      </c>
      <c r="B298" t="inlineStr">
        <is>
          <t>LIBRE</t>
        </is>
      </c>
      <c r="C298" s="14" t="n"/>
      <c r="E298" s="15">
        <f>IF($G298&lt;&gt;"PAGADO","",IFERROR(IF(VLOOKUP($A298,COMPRADORES!$A:$D,4,FALSE)="NO","Reservado",LEFT(VLOOKUP($A298,COMPRADORES!$A:$D,2,FALSE),3)&amp;"***"&amp;IF(TRIM(MID(VLOOKUP($A298,COMPRADORES!$A:$D,2,FALSE)&amp;" ",FIND(" ",VLOOKUP($A298,COMPRADORES!$A:$D,2,FALSE)&amp;" ")+1,99))="",""," "&amp;LEFT(TRIM(MID(VLOOKUP($A298,COMPRADORES!$A:$D,2,FALSE)&amp;" ",FIND(" ",VLOOKUP($A298,COMPRADORES!$A:$D,2,FALSE)&amp;" ")+1,99)),1)&amp;".")),""))</f>
        <v/>
      </c>
      <c r="F298" s="16">
        <f>IF($B298="PAGADO",MID("ABCDEFGHIJ",INT(VALUE($A298)/100)+1,1)&amp;"-"&amp;$A298,"")</f>
        <v/>
      </c>
      <c r="G298" s="16">
        <f>IF($B298="PAGADO","PAGADO",IF($B298="APARTADO",IF(NOT(ISNUMBER($C298)),"APARTADO",IF($C298&lt;1,"APARTADO",IF(NOW()-$C298&gt;1,"LIBRE","APARTADO"))),"LIBRE"))</f>
        <v/>
      </c>
      <c r="H298" s="15">
        <f>IF($G298&lt;&gt;"APARTADO","",IF(NOT(ISNUMBER($C298)),"FALTA LA HORA",IF($C298&lt;1,"FALTA LA FECHA",TEXT($C298+1,"dd/mm hh:mm"))))</f>
        <v/>
      </c>
    </row>
    <row r="299">
      <c r="A299" s="13" t="inlineStr">
        <is>
          <t>297</t>
        </is>
      </c>
      <c r="B299" t="inlineStr">
        <is>
          <t>LIBRE</t>
        </is>
      </c>
      <c r="C299" s="14" t="n"/>
      <c r="E299" s="15">
        <f>IF($G299&lt;&gt;"PAGADO","",IFERROR(IF(VLOOKUP($A299,COMPRADORES!$A:$D,4,FALSE)="NO","Reservado",LEFT(VLOOKUP($A299,COMPRADORES!$A:$D,2,FALSE),3)&amp;"***"&amp;IF(TRIM(MID(VLOOKUP($A299,COMPRADORES!$A:$D,2,FALSE)&amp;" ",FIND(" ",VLOOKUP($A299,COMPRADORES!$A:$D,2,FALSE)&amp;" ")+1,99))="",""," "&amp;LEFT(TRIM(MID(VLOOKUP($A299,COMPRADORES!$A:$D,2,FALSE)&amp;" ",FIND(" ",VLOOKUP($A299,COMPRADORES!$A:$D,2,FALSE)&amp;" ")+1,99)),1)&amp;".")),""))</f>
        <v/>
      </c>
      <c r="F299" s="16">
        <f>IF($B299="PAGADO",MID("ABCDEFGHIJ",INT(VALUE($A299)/100)+1,1)&amp;"-"&amp;$A299,"")</f>
        <v/>
      </c>
      <c r="G299" s="16">
        <f>IF($B299="PAGADO","PAGADO",IF($B299="APARTADO",IF(NOT(ISNUMBER($C299)),"APARTADO",IF($C299&lt;1,"APARTADO",IF(NOW()-$C299&gt;1,"LIBRE","APARTADO"))),"LIBRE"))</f>
        <v/>
      </c>
      <c r="H299" s="15">
        <f>IF($G299&lt;&gt;"APARTADO","",IF(NOT(ISNUMBER($C299)),"FALTA LA HORA",IF($C299&lt;1,"FALTA LA FECHA",TEXT($C299+1,"dd/mm hh:mm"))))</f>
        <v/>
      </c>
    </row>
    <row r="300">
      <c r="A300" s="13" t="inlineStr">
        <is>
          <t>298</t>
        </is>
      </c>
      <c r="B300" t="inlineStr">
        <is>
          <t>LIBRE</t>
        </is>
      </c>
      <c r="C300" s="14" t="n"/>
      <c r="E300" s="15">
        <f>IF($G300&lt;&gt;"PAGADO","",IFERROR(IF(VLOOKUP($A300,COMPRADORES!$A:$D,4,FALSE)="NO","Reservado",LEFT(VLOOKUP($A300,COMPRADORES!$A:$D,2,FALSE),3)&amp;"***"&amp;IF(TRIM(MID(VLOOKUP($A300,COMPRADORES!$A:$D,2,FALSE)&amp;" ",FIND(" ",VLOOKUP($A300,COMPRADORES!$A:$D,2,FALSE)&amp;" ")+1,99))="",""," "&amp;LEFT(TRIM(MID(VLOOKUP($A300,COMPRADORES!$A:$D,2,FALSE)&amp;" ",FIND(" ",VLOOKUP($A300,COMPRADORES!$A:$D,2,FALSE)&amp;" ")+1,99)),1)&amp;".")),""))</f>
        <v/>
      </c>
      <c r="F300" s="16">
        <f>IF($B300="PAGADO",MID("ABCDEFGHIJ",INT(VALUE($A300)/100)+1,1)&amp;"-"&amp;$A300,"")</f>
        <v/>
      </c>
      <c r="G300" s="16">
        <f>IF($B300="PAGADO","PAGADO",IF($B300="APARTADO",IF(NOT(ISNUMBER($C300)),"APARTADO",IF($C300&lt;1,"APARTADO",IF(NOW()-$C300&gt;1,"LIBRE","APARTADO"))),"LIBRE"))</f>
        <v/>
      </c>
      <c r="H300" s="15">
        <f>IF($G300&lt;&gt;"APARTADO","",IF(NOT(ISNUMBER($C300)),"FALTA LA HORA",IF($C300&lt;1,"FALTA LA FECHA",TEXT($C300+1,"dd/mm hh:mm"))))</f>
        <v/>
      </c>
    </row>
    <row r="301">
      <c r="A301" s="13" t="inlineStr">
        <is>
          <t>299</t>
        </is>
      </c>
      <c r="B301" t="inlineStr">
        <is>
          <t>LIBRE</t>
        </is>
      </c>
      <c r="C301" s="14" t="n"/>
      <c r="E301" s="15">
        <f>IF($G301&lt;&gt;"PAGADO","",IFERROR(IF(VLOOKUP($A301,COMPRADORES!$A:$D,4,FALSE)="NO","Reservado",LEFT(VLOOKUP($A301,COMPRADORES!$A:$D,2,FALSE),3)&amp;"***"&amp;IF(TRIM(MID(VLOOKUP($A301,COMPRADORES!$A:$D,2,FALSE)&amp;" ",FIND(" ",VLOOKUP($A301,COMPRADORES!$A:$D,2,FALSE)&amp;" ")+1,99))="",""," "&amp;LEFT(TRIM(MID(VLOOKUP($A301,COMPRADORES!$A:$D,2,FALSE)&amp;" ",FIND(" ",VLOOKUP($A301,COMPRADORES!$A:$D,2,FALSE)&amp;" ")+1,99)),1)&amp;".")),""))</f>
        <v/>
      </c>
      <c r="F301" s="16">
        <f>IF($B301="PAGADO",MID("ABCDEFGHIJ",INT(VALUE($A301)/100)+1,1)&amp;"-"&amp;$A301,"")</f>
        <v/>
      </c>
      <c r="G301" s="16">
        <f>IF($B301="PAGADO","PAGADO",IF($B301="APARTADO",IF(NOT(ISNUMBER($C301)),"APARTADO",IF($C301&lt;1,"APARTADO",IF(NOW()-$C301&gt;1,"LIBRE","APARTADO"))),"LIBRE"))</f>
        <v/>
      </c>
      <c r="H301" s="15">
        <f>IF($G301&lt;&gt;"APARTADO","",IF(NOT(ISNUMBER($C301)),"FALTA LA HORA",IF($C301&lt;1,"FALTA LA FECHA",TEXT($C301+1,"dd/mm hh:mm"))))</f>
        <v/>
      </c>
    </row>
    <row r="302">
      <c r="A302" s="13" t="inlineStr">
        <is>
          <t>300</t>
        </is>
      </c>
      <c r="B302" t="inlineStr">
        <is>
          <t>LIBRE</t>
        </is>
      </c>
      <c r="C302" s="14" t="n"/>
      <c r="E302" s="15">
        <f>IF($G302&lt;&gt;"PAGADO","",IFERROR(IF(VLOOKUP($A302,COMPRADORES!$A:$D,4,FALSE)="NO","Reservado",LEFT(VLOOKUP($A302,COMPRADORES!$A:$D,2,FALSE),3)&amp;"***"&amp;IF(TRIM(MID(VLOOKUP($A302,COMPRADORES!$A:$D,2,FALSE)&amp;" ",FIND(" ",VLOOKUP($A302,COMPRADORES!$A:$D,2,FALSE)&amp;" ")+1,99))="",""," "&amp;LEFT(TRIM(MID(VLOOKUP($A302,COMPRADORES!$A:$D,2,FALSE)&amp;" ",FIND(" ",VLOOKUP($A302,COMPRADORES!$A:$D,2,FALSE)&amp;" ")+1,99)),1)&amp;".")),""))</f>
        <v/>
      </c>
      <c r="F302" s="16">
        <f>IF($B302="PAGADO",MID("ABCDEFGHIJ",INT(VALUE($A302)/100)+1,1)&amp;"-"&amp;$A302,"")</f>
        <v/>
      </c>
      <c r="G302" s="16">
        <f>IF($B302="PAGADO","PAGADO",IF($B302="APARTADO",IF(NOT(ISNUMBER($C302)),"APARTADO",IF($C302&lt;1,"APARTADO",IF(NOW()-$C302&gt;1,"LIBRE","APARTADO"))),"LIBRE"))</f>
        <v/>
      </c>
      <c r="H302" s="15">
        <f>IF($G302&lt;&gt;"APARTADO","",IF(NOT(ISNUMBER($C302)),"FALTA LA HORA",IF($C302&lt;1,"FALTA LA FECHA",TEXT($C302+1,"dd/mm hh:mm"))))</f>
        <v/>
      </c>
    </row>
    <row r="303">
      <c r="A303" s="13" t="inlineStr">
        <is>
          <t>301</t>
        </is>
      </c>
      <c r="B303" t="inlineStr">
        <is>
          <t>LIBRE</t>
        </is>
      </c>
      <c r="C303" s="14" t="n"/>
      <c r="E303" s="15">
        <f>IF($G303&lt;&gt;"PAGADO","",IFERROR(IF(VLOOKUP($A303,COMPRADORES!$A:$D,4,FALSE)="NO","Reservado",LEFT(VLOOKUP($A303,COMPRADORES!$A:$D,2,FALSE),3)&amp;"***"&amp;IF(TRIM(MID(VLOOKUP($A303,COMPRADORES!$A:$D,2,FALSE)&amp;" ",FIND(" ",VLOOKUP($A303,COMPRADORES!$A:$D,2,FALSE)&amp;" ")+1,99))="",""," "&amp;LEFT(TRIM(MID(VLOOKUP($A303,COMPRADORES!$A:$D,2,FALSE)&amp;" ",FIND(" ",VLOOKUP($A303,COMPRADORES!$A:$D,2,FALSE)&amp;" ")+1,99)),1)&amp;".")),""))</f>
        <v/>
      </c>
      <c r="F303" s="16">
        <f>IF($B303="PAGADO",MID("ABCDEFGHIJ",INT(VALUE($A303)/100)+1,1)&amp;"-"&amp;$A303,"")</f>
        <v/>
      </c>
      <c r="G303" s="16">
        <f>IF($B303="PAGADO","PAGADO",IF($B303="APARTADO",IF(NOT(ISNUMBER($C303)),"APARTADO",IF($C303&lt;1,"APARTADO",IF(NOW()-$C303&gt;1,"LIBRE","APARTADO"))),"LIBRE"))</f>
        <v/>
      </c>
      <c r="H303" s="15">
        <f>IF($G303&lt;&gt;"APARTADO","",IF(NOT(ISNUMBER($C303)),"FALTA LA HORA",IF($C303&lt;1,"FALTA LA FECHA",TEXT($C303+1,"dd/mm hh:mm"))))</f>
        <v/>
      </c>
    </row>
    <row r="304">
      <c r="A304" s="13" t="inlineStr">
        <is>
          <t>302</t>
        </is>
      </c>
      <c r="B304" t="inlineStr">
        <is>
          <t>LIBRE</t>
        </is>
      </c>
      <c r="C304" s="14" t="n"/>
      <c r="E304" s="15">
        <f>IF($G304&lt;&gt;"PAGADO","",IFERROR(IF(VLOOKUP($A304,COMPRADORES!$A:$D,4,FALSE)="NO","Reservado",LEFT(VLOOKUP($A304,COMPRADORES!$A:$D,2,FALSE),3)&amp;"***"&amp;IF(TRIM(MID(VLOOKUP($A304,COMPRADORES!$A:$D,2,FALSE)&amp;" ",FIND(" ",VLOOKUP($A304,COMPRADORES!$A:$D,2,FALSE)&amp;" ")+1,99))="",""," "&amp;LEFT(TRIM(MID(VLOOKUP($A304,COMPRADORES!$A:$D,2,FALSE)&amp;" ",FIND(" ",VLOOKUP($A304,COMPRADORES!$A:$D,2,FALSE)&amp;" ")+1,99)),1)&amp;".")),""))</f>
        <v/>
      </c>
      <c r="F304" s="16">
        <f>IF($B304="PAGADO",MID("ABCDEFGHIJ",INT(VALUE($A304)/100)+1,1)&amp;"-"&amp;$A304,"")</f>
        <v/>
      </c>
      <c r="G304" s="16">
        <f>IF($B304="PAGADO","PAGADO",IF($B304="APARTADO",IF(NOT(ISNUMBER($C304)),"APARTADO",IF($C304&lt;1,"APARTADO",IF(NOW()-$C304&gt;1,"LIBRE","APARTADO"))),"LIBRE"))</f>
        <v/>
      </c>
      <c r="H304" s="15">
        <f>IF($G304&lt;&gt;"APARTADO","",IF(NOT(ISNUMBER($C304)),"FALTA LA HORA",IF($C304&lt;1,"FALTA LA FECHA",TEXT($C304+1,"dd/mm hh:mm"))))</f>
        <v/>
      </c>
    </row>
    <row r="305">
      <c r="A305" s="13" t="inlineStr">
        <is>
          <t>303</t>
        </is>
      </c>
      <c r="B305" t="inlineStr">
        <is>
          <t>LIBRE</t>
        </is>
      </c>
      <c r="C305" s="14" t="n"/>
      <c r="E305" s="15">
        <f>IF($G305&lt;&gt;"PAGADO","",IFERROR(IF(VLOOKUP($A305,COMPRADORES!$A:$D,4,FALSE)="NO","Reservado",LEFT(VLOOKUP($A305,COMPRADORES!$A:$D,2,FALSE),3)&amp;"***"&amp;IF(TRIM(MID(VLOOKUP($A305,COMPRADORES!$A:$D,2,FALSE)&amp;" ",FIND(" ",VLOOKUP($A305,COMPRADORES!$A:$D,2,FALSE)&amp;" ")+1,99))="",""," "&amp;LEFT(TRIM(MID(VLOOKUP($A305,COMPRADORES!$A:$D,2,FALSE)&amp;" ",FIND(" ",VLOOKUP($A305,COMPRADORES!$A:$D,2,FALSE)&amp;" ")+1,99)),1)&amp;".")),""))</f>
        <v/>
      </c>
      <c r="F305" s="16">
        <f>IF($B305="PAGADO",MID("ABCDEFGHIJ",INT(VALUE($A305)/100)+1,1)&amp;"-"&amp;$A305,"")</f>
        <v/>
      </c>
      <c r="G305" s="16">
        <f>IF($B305="PAGADO","PAGADO",IF($B305="APARTADO",IF(NOT(ISNUMBER($C305)),"APARTADO",IF($C305&lt;1,"APARTADO",IF(NOW()-$C305&gt;1,"LIBRE","APARTADO"))),"LIBRE"))</f>
        <v/>
      </c>
      <c r="H305" s="15">
        <f>IF($G305&lt;&gt;"APARTADO","",IF(NOT(ISNUMBER($C305)),"FALTA LA HORA",IF($C305&lt;1,"FALTA LA FECHA",TEXT($C305+1,"dd/mm hh:mm"))))</f>
        <v/>
      </c>
    </row>
    <row r="306">
      <c r="A306" s="13" t="inlineStr">
        <is>
          <t>304</t>
        </is>
      </c>
      <c r="B306" t="inlineStr">
        <is>
          <t>LIBRE</t>
        </is>
      </c>
      <c r="C306" s="14" t="n"/>
      <c r="E306" s="15">
        <f>IF($G306&lt;&gt;"PAGADO","",IFERROR(IF(VLOOKUP($A306,COMPRADORES!$A:$D,4,FALSE)="NO","Reservado",LEFT(VLOOKUP($A306,COMPRADORES!$A:$D,2,FALSE),3)&amp;"***"&amp;IF(TRIM(MID(VLOOKUP($A306,COMPRADORES!$A:$D,2,FALSE)&amp;" ",FIND(" ",VLOOKUP($A306,COMPRADORES!$A:$D,2,FALSE)&amp;" ")+1,99))="",""," "&amp;LEFT(TRIM(MID(VLOOKUP($A306,COMPRADORES!$A:$D,2,FALSE)&amp;" ",FIND(" ",VLOOKUP($A306,COMPRADORES!$A:$D,2,FALSE)&amp;" ")+1,99)),1)&amp;".")),""))</f>
        <v/>
      </c>
      <c r="F306" s="16">
        <f>IF($B306="PAGADO",MID("ABCDEFGHIJ",INT(VALUE($A306)/100)+1,1)&amp;"-"&amp;$A306,"")</f>
        <v/>
      </c>
      <c r="G306" s="16">
        <f>IF($B306="PAGADO","PAGADO",IF($B306="APARTADO",IF(NOT(ISNUMBER($C306)),"APARTADO",IF($C306&lt;1,"APARTADO",IF(NOW()-$C306&gt;1,"LIBRE","APARTADO"))),"LIBRE"))</f>
        <v/>
      </c>
      <c r="H306" s="15">
        <f>IF($G306&lt;&gt;"APARTADO","",IF(NOT(ISNUMBER($C306)),"FALTA LA HORA",IF($C306&lt;1,"FALTA LA FECHA",TEXT($C306+1,"dd/mm hh:mm"))))</f>
        <v/>
      </c>
    </row>
    <row r="307">
      <c r="A307" s="13" t="inlineStr">
        <is>
          <t>305</t>
        </is>
      </c>
      <c r="B307" t="inlineStr">
        <is>
          <t>LIBRE</t>
        </is>
      </c>
      <c r="C307" s="14" t="n"/>
      <c r="E307" s="15">
        <f>IF($G307&lt;&gt;"PAGADO","",IFERROR(IF(VLOOKUP($A307,COMPRADORES!$A:$D,4,FALSE)="NO","Reservado",LEFT(VLOOKUP($A307,COMPRADORES!$A:$D,2,FALSE),3)&amp;"***"&amp;IF(TRIM(MID(VLOOKUP($A307,COMPRADORES!$A:$D,2,FALSE)&amp;" ",FIND(" ",VLOOKUP($A307,COMPRADORES!$A:$D,2,FALSE)&amp;" ")+1,99))="",""," "&amp;LEFT(TRIM(MID(VLOOKUP($A307,COMPRADORES!$A:$D,2,FALSE)&amp;" ",FIND(" ",VLOOKUP($A307,COMPRADORES!$A:$D,2,FALSE)&amp;" ")+1,99)),1)&amp;".")),""))</f>
        <v/>
      </c>
      <c r="F307" s="16">
        <f>IF($B307="PAGADO",MID("ABCDEFGHIJ",INT(VALUE($A307)/100)+1,1)&amp;"-"&amp;$A307,"")</f>
        <v/>
      </c>
      <c r="G307" s="16">
        <f>IF($B307="PAGADO","PAGADO",IF($B307="APARTADO",IF(NOT(ISNUMBER($C307)),"APARTADO",IF($C307&lt;1,"APARTADO",IF(NOW()-$C307&gt;1,"LIBRE","APARTADO"))),"LIBRE"))</f>
        <v/>
      </c>
      <c r="H307" s="15">
        <f>IF($G307&lt;&gt;"APARTADO","",IF(NOT(ISNUMBER($C307)),"FALTA LA HORA",IF($C307&lt;1,"FALTA LA FECHA",TEXT($C307+1,"dd/mm hh:mm"))))</f>
        <v/>
      </c>
    </row>
    <row r="308">
      <c r="A308" s="13" t="inlineStr">
        <is>
          <t>306</t>
        </is>
      </c>
      <c r="B308" t="inlineStr">
        <is>
          <t>LIBRE</t>
        </is>
      </c>
      <c r="C308" s="14" t="n"/>
      <c r="E308" s="15">
        <f>IF($G308&lt;&gt;"PAGADO","",IFERROR(IF(VLOOKUP($A308,COMPRADORES!$A:$D,4,FALSE)="NO","Reservado",LEFT(VLOOKUP($A308,COMPRADORES!$A:$D,2,FALSE),3)&amp;"***"&amp;IF(TRIM(MID(VLOOKUP($A308,COMPRADORES!$A:$D,2,FALSE)&amp;" ",FIND(" ",VLOOKUP($A308,COMPRADORES!$A:$D,2,FALSE)&amp;" ")+1,99))="",""," "&amp;LEFT(TRIM(MID(VLOOKUP($A308,COMPRADORES!$A:$D,2,FALSE)&amp;" ",FIND(" ",VLOOKUP($A308,COMPRADORES!$A:$D,2,FALSE)&amp;" ")+1,99)),1)&amp;".")),""))</f>
        <v/>
      </c>
      <c r="F308" s="16">
        <f>IF($B308="PAGADO",MID("ABCDEFGHIJ",INT(VALUE($A308)/100)+1,1)&amp;"-"&amp;$A308,"")</f>
        <v/>
      </c>
      <c r="G308" s="16">
        <f>IF($B308="PAGADO","PAGADO",IF($B308="APARTADO",IF(NOT(ISNUMBER($C308)),"APARTADO",IF($C308&lt;1,"APARTADO",IF(NOW()-$C308&gt;1,"LIBRE","APARTADO"))),"LIBRE"))</f>
        <v/>
      </c>
      <c r="H308" s="15">
        <f>IF($G308&lt;&gt;"APARTADO","",IF(NOT(ISNUMBER($C308)),"FALTA LA HORA",IF($C308&lt;1,"FALTA LA FECHA",TEXT($C308+1,"dd/mm hh:mm"))))</f>
        <v/>
      </c>
    </row>
    <row r="309">
      <c r="A309" s="13" t="inlineStr">
        <is>
          <t>307</t>
        </is>
      </c>
      <c r="B309" t="inlineStr">
        <is>
          <t>LIBRE</t>
        </is>
      </c>
      <c r="C309" s="14" t="n"/>
      <c r="E309" s="15">
        <f>IF($G309&lt;&gt;"PAGADO","",IFERROR(IF(VLOOKUP($A309,COMPRADORES!$A:$D,4,FALSE)="NO","Reservado",LEFT(VLOOKUP($A309,COMPRADORES!$A:$D,2,FALSE),3)&amp;"***"&amp;IF(TRIM(MID(VLOOKUP($A309,COMPRADORES!$A:$D,2,FALSE)&amp;" ",FIND(" ",VLOOKUP($A309,COMPRADORES!$A:$D,2,FALSE)&amp;" ")+1,99))="",""," "&amp;LEFT(TRIM(MID(VLOOKUP($A309,COMPRADORES!$A:$D,2,FALSE)&amp;" ",FIND(" ",VLOOKUP($A309,COMPRADORES!$A:$D,2,FALSE)&amp;" ")+1,99)),1)&amp;".")),""))</f>
        <v/>
      </c>
      <c r="F309" s="16">
        <f>IF($B309="PAGADO",MID("ABCDEFGHIJ",INT(VALUE($A309)/100)+1,1)&amp;"-"&amp;$A309,"")</f>
        <v/>
      </c>
      <c r="G309" s="16">
        <f>IF($B309="PAGADO","PAGADO",IF($B309="APARTADO",IF(NOT(ISNUMBER($C309)),"APARTADO",IF($C309&lt;1,"APARTADO",IF(NOW()-$C309&gt;1,"LIBRE","APARTADO"))),"LIBRE"))</f>
        <v/>
      </c>
      <c r="H309" s="15">
        <f>IF($G309&lt;&gt;"APARTADO","",IF(NOT(ISNUMBER($C309)),"FALTA LA HORA",IF($C309&lt;1,"FALTA LA FECHA",TEXT($C309+1,"dd/mm hh:mm"))))</f>
        <v/>
      </c>
    </row>
    <row r="310">
      <c r="A310" s="13" t="inlineStr">
        <is>
          <t>308</t>
        </is>
      </c>
      <c r="B310" t="inlineStr">
        <is>
          <t>LIBRE</t>
        </is>
      </c>
      <c r="C310" s="14" t="n"/>
      <c r="E310" s="15">
        <f>IF($G310&lt;&gt;"PAGADO","",IFERROR(IF(VLOOKUP($A310,COMPRADORES!$A:$D,4,FALSE)="NO","Reservado",LEFT(VLOOKUP($A310,COMPRADORES!$A:$D,2,FALSE),3)&amp;"***"&amp;IF(TRIM(MID(VLOOKUP($A310,COMPRADORES!$A:$D,2,FALSE)&amp;" ",FIND(" ",VLOOKUP($A310,COMPRADORES!$A:$D,2,FALSE)&amp;" ")+1,99))="",""," "&amp;LEFT(TRIM(MID(VLOOKUP($A310,COMPRADORES!$A:$D,2,FALSE)&amp;" ",FIND(" ",VLOOKUP($A310,COMPRADORES!$A:$D,2,FALSE)&amp;" ")+1,99)),1)&amp;".")),""))</f>
        <v/>
      </c>
      <c r="F310" s="16">
        <f>IF($B310="PAGADO",MID("ABCDEFGHIJ",INT(VALUE($A310)/100)+1,1)&amp;"-"&amp;$A310,"")</f>
        <v/>
      </c>
      <c r="G310" s="16">
        <f>IF($B310="PAGADO","PAGADO",IF($B310="APARTADO",IF(NOT(ISNUMBER($C310)),"APARTADO",IF($C310&lt;1,"APARTADO",IF(NOW()-$C310&gt;1,"LIBRE","APARTADO"))),"LIBRE"))</f>
        <v/>
      </c>
      <c r="H310" s="15">
        <f>IF($G310&lt;&gt;"APARTADO","",IF(NOT(ISNUMBER($C310)),"FALTA LA HORA",IF($C310&lt;1,"FALTA LA FECHA",TEXT($C310+1,"dd/mm hh:mm"))))</f>
        <v/>
      </c>
    </row>
    <row r="311">
      <c r="A311" s="13" t="inlineStr">
        <is>
          <t>309</t>
        </is>
      </c>
      <c r="B311" t="inlineStr">
        <is>
          <t>LIBRE</t>
        </is>
      </c>
      <c r="C311" s="14" t="n"/>
      <c r="E311" s="15">
        <f>IF($G311&lt;&gt;"PAGADO","",IFERROR(IF(VLOOKUP($A311,COMPRADORES!$A:$D,4,FALSE)="NO","Reservado",LEFT(VLOOKUP($A311,COMPRADORES!$A:$D,2,FALSE),3)&amp;"***"&amp;IF(TRIM(MID(VLOOKUP($A311,COMPRADORES!$A:$D,2,FALSE)&amp;" ",FIND(" ",VLOOKUP($A311,COMPRADORES!$A:$D,2,FALSE)&amp;" ")+1,99))="",""," "&amp;LEFT(TRIM(MID(VLOOKUP($A311,COMPRADORES!$A:$D,2,FALSE)&amp;" ",FIND(" ",VLOOKUP($A311,COMPRADORES!$A:$D,2,FALSE)&amp;" ")+1,99)),1)&amp;".")),""))</f>
        <v/>
      </c>
      <c r="F311" s="16">
        <f>IF($B311="PAGADO",MID("ABCDEFGHIJ",INT(VALUE($A311)/100)+1,1)&amp;"-"&amp;$A311,"")</f>
        <v/>
      </c>
      <c r="G311" s="16">
        <f>IF($B311="PAGADO","PAGADO",IF($B311="APARTADO",IF(NOT(ISNUMBER($C311)),"APARTADO",IF($C311&lt;1,"APARTADO",IF(NOW()-$C311&gt;1,"LIBRE","APARTADO"))),"LIBRE"))</f>
        <v/>
      </c>
      <c r="H311" s="15">
        <f>IF($G311&lt;&gt;"APARTADO","",IF(NOT(ISNUMBER($C311)),"FALTA LA HORA",IF($C311&lt;1,"FALTA LA FECHA",TEXT($C311+1,"dd/mm hh:mm"))))</f>
        <v/>
      </c>
    </row>
    <row r="312">
      <c r="A312" s="13" t="inlineStr">
        <is>
          <t>310</t>
        </is>
      </c>
      <c r="B312" t="inlineStr">
        <is>
          <t>LIBRE</t>
        </is>
      </c>
      <c r="C312" s="14" t="n"/>
      <c r="E312" s="15">
        <f>IF($G312&lt;&gt;"PAGADO","",IFERROR(IF(VLOOKUP($A312,COMPRADORES!$A:$D,4,FALSE)="NO","Reservado",LEFT(VLOOKUP($A312,COMPRADORES!$A:$D,2,FALSE),3)&amp;"***"&amp;IF(TRIM(MID(VLOOKUP($A312,COMPRADORES!$A:$D,2,FALSE)&amp;" ",FIND(" ",VLOOKUP($A312,COMPRADORES!$A:$D,2,FALSE)&amp;" ")+1,99))="",""," "&amp;LEFT(TRIM(MID(VLOOKUP($A312,COMPRADORES!$A:$D,2,FALSE)&amp;" ",FIND(" ",VLOOKUP($A312,COMPRADORES!$A:$D,2,FALSE)&amp;" ")+1,99)),1)&amp;".")),""))</f>
        <v/>
      </c>
      <c r="F312" s="16">
        <f>IF($B312="PAGADO",MID("ABCDEFGHIJ",INT(VALUE($A312)/100)+1,1)&amp;"-"&amp;$A312,"")</f>
        <v/>
      </c>
      <c r="G312" s="16">
        <f>IF($B312="PAGADO","PAGADO",IF($B312="APARTADO",IF(NOT(ISNUMBER($C312)),"APARTADO",IF($C312&lt;1,"APARTADO",IF(NOW()-$C312&gt;1,"LIBRE","APARTADO"))),"LIBRE"))</f>
        <v/>
      </c>
      <c r="H312" s="15">
        <f>IF($G312&lt;&gt;"APARTADO","",IF(NOT(ISNUMBER($C312)),"FALTA LA HORA",IF($C312&lt;1,"FALTA LA FECHA",TEXT($C312+1,"dd/mm hh:mm"))))</f>
        <v/>
      </c>
    </row>
    <row r="313">
      <c r="A313" s="13" t="inlineStr">
        <is>
          <t>311</t>
        </is>
      </c>
      <c r="B313" t="inlineStr">
        <is>
          <t>LIBRE</t>
        </is>
      </c>
      <c r="C313" s="14" t="n"/>
      <c r="E313" s="15">
        <f>IF($G313&lt;&gt;"PAGADO","",IFERROR(IF(VLOOKUP($A313,COMPRADORES!$A:$D,4,FALSE)="NO","Reservado",LEFT(VLOOKUP($A313,COMPRADORES!$A:$D,2,FALSE),3)&amp;"***"&amp;IF(TRIM(MID(VLOOKUP($A313,COMPRADORES!$A:$D,2,FALSE)&amp;" ",FIND(" ",VLOOKUP($A313,COMPRADORES!$A:$D,2,FALSE)&amp;" ")+1,99))="",""," "&amp;LEFT(TRIM(MID(VLOOKUP($A313,COMPRADORES!$A:$D,2,FALSE)&amp;" ",FIND(" ",VLOOKUP($A313,COMPRADORES!$A:$D,2,FALSE)&amp;" ")+1,99)),1)&amp;".")),""))</f>
        <v/>
      </c>
      <c r="F313" s="16">
        <f>IF($B313="PAGADO",MID("ABCDEFGHIJ",INT(VALUE($A313)/100)+1,1)&amp;"-"&amp;$A313,"")</f>
        <v/>
      </c>
      <c r="G313" s="16">
        <f>IF($B313="PAGADO","PAGADO",IF($B313="APARTADO",IF(NOT(ISNUMBER($C313)),"APARTADO",IF($C313&lt;1,"APARTADO",IF(NOW()-$C313&gt;1,"LIBRE","APARTADO"))),"LIBRE"))</f>
        <v/>
      </c>
      <c r="H313" s="15">
        <f>IF($G313&lt;&gt;"APARTADO","",IF(NOT(ISNUMBER($C313)),"FALTA LA HORA",IF($C313&lt;1,"FALTA LA FECHA",TEXT($C313+1,"dd/mm hh:mm"))))</f>
        <v/>
      </c>
    </row>
    <row r="314">
      <c r="A314" s="13" t="inlineStr">
        <is>
          <t>312</t>
        </is>
      </c>
      <c r="B314" t="inlineStr">
        <is>
          <t>LIBRE</t>
        </is>
      </c>
      <c r="C314" s="14" t="n"/>
      <c r="E314" s="15">
        <f>IF($G314&lt;&gt;"PAGADO","",IFERROR(IF(VLOOKUP($A314,COMPRADORES!$A:$D,4,FALSE)="NO","Reservado",LEFT(VLOOKUP($A314,COMPRADORES!$A:$D,2,FALSE),3)&amp;"***"&amp;IF(TRIM(MID(VLOOKUP($A314,COMPRADORES!$A:$D,2,FALSE)&amp;" ",FIND(" ",VLOOKUP($A314,COMPRADORES!$A:$D,2,FALSE)&amp;" ")+1,99))="",""," "&amp;LEFT(TRIM(MID(VLOOKUP($A314,COMPRADORES!$A:$D,2,FALSE)&amp;" ",FIND(" ",VLOOKUP($A314,COMPRADORES!$A:$D,2,FALSE)&amp;" ")+1,99)),1)&amp;".")),""))</f>
        <v/>
      </c>
      <c r="F314" s="16">
        <f>IF($B314="PAGADO",MID("ABCDEFGHIJ",INT(VALUE($A314)/100)+1,1)&amp;"-"&amp;$A314,"")</f>
        <v/>
      </c>
      <c r="G314" s="16">
        <f>IF($B314="PAGADO","PAGADO",IF($B314="APARTADO",IF(NOT(ISNUMBER($C314)),"APARTADO",IF($C314&lt;1,"APARTADO",IF(NOW()-$C314&gt;1,"LIBRE","APARTADO"))),"LIBRE"))</f>
        <v/>
      </c>
      <c r="H314" s="15">
        <f>IF($G314&lt;&gt;"APARTADO","",IF(NOT(ISNUMBER($C314)),"FALTA LA HORA",IF($C314&lt;1,"FALTA LA FECHA",TEXT($C314+1,"dd/mm hh:mm"))))</f>
        <v/>
      </c>
    </row>
    <row r="315">
      <c r="A315" s="13" t="inlineStr">
        <is>
          <t>313</t>
        </is>
      </c>
      <c r="B315" t="inlineStr">
        <is>
          <t>LIBRE</t>
        </is>
      </c>
      <c r="C315" s="14" t="n"/>
      <c r="E315" s="15">
        <f>IF($G315&lt;&gt;"PAGADO","",IFERROR(IF(VLOOKUP($A315,COMPRADORES!$A:$D,4,FALSE)="NO","Reservado",LEFT(VLOOKUP($A315,COMPRADORES!$A:$D,2,FALSE),3)&amp;"***"&amp;IF(TRIM(MID(VLOOKUP($A315,COMPRADORES!$A:$D,2,FALSE)&amp;" ",FIND(" ",VLOOKUP($A315,COMPRADORES!$A:$D,2,FALSE)&amp;" ")+1,99))="",""," "&amp;LEFT(TRIM(MID(VLOOKUP($A315,COMPRADORES!$A:$D,2,FALSE)&amp;" ",FIND(" ",VLOOKUP($A315,COMPRADORES!$A:$D,2,FALSE)&amp;" ")+1,99)),1)&amp;".")),""))</f>
        <v/>
      </c>
      <c r="F315" s="16">
        <f>IF($B315="PAGADO",MID("ABCDEFGHIJ",INT(VALUE($A315)/100)+1,1)&amp;"-"&amp;$A315,"")</f>
        <v/>
      </c>
      <c r="G315" s="16">
        <f>IF($B315="PAGADO","PAGADO",IF($B315="APARTADO",IF(NOT(ISNUMBER($C315)),"APARTADO",IF($C315&lt;1,"APARTADO",IF(NOW()-$C315&gt;1,"LIBRE","APARTADO"))),"LIBRE"))</f>
        <v/>
      </c>
      <c r="H315" s="15">
        <f>IF($G315&lt;&gt;"APARTADO","",IF(NOT(ISNUMBER($C315)),"FALTA LA HORA",IF($C315&lt;1,"FALTA LA FECHA",TEXT($C315+1,"dd/mm hh:mm"))))</f>
        <v/>
      </c>
    </row>
    <row r="316">
      <c r="A316" s="13" t="inlineStr">
        <is>
          <t>314</t>
        </is>
      </c>
      <c r="B316" t="inlineStr">
        <is>
          <t>LIBRE</t>
        </is>
      </c>
      <c r="C316" s="14" t="n"/>
      <c r="E316" s="15">
        <f>IF($G316&lt;&gt;"PAGADO","",IFERROR(IF(VLOOKUP($A316,COMPRADORES!$A:$D,4,FALSE)="NO","Reservado",LEFT(VLOOKUP($A316,COMPRADORES!$A:$D,2,FALSE),3)&amp;"***"&amp;IF(TRIM(MID(VLOOKUP($A316,COMPRADORES!$A:$D,2,FALSE)&amp;" ",FIND(" ",VLOOKUP($A316,COMPRADORES!$A:$D,2,FALSE)&amp;" ")+1,99))="",""," "&amp;LEFT(TRIM(MID(VLOOKUP($A316,COMPRADORES!$A:$D,2,FALSE)&amp;" ",FIND(" ",VLOOKUP($A316,COMPRADORES!$A:$D,2,FALSE)&amp;" ")+1,99)),1)&amp;".")),""))</f>
        <v/>
      </c>
      <c r="F316" s="16">
        <f>IF($B316="PAGADO",MID("ABCDEFGHIJ",INT(VALUE($A316)/100)+1,1)&amp;"-"&amp;$A316,"")</f>
        <v/>
      </c>
      <c r="G316" s="16">
        <f>IF($B316="PAGADO","PAGADO",IF($B316="APARTADO",IF(NOT(ISNUMBER($C316)),"APARTADO",IF($C316&lt;1,"APARTADO",IF(NOW()-$C316&gt;1,"LIBRE","APARTADO"))),"LIBRE"))</f>
        <v/>
      </c>
      <c r="H316" s="15">
        <f>IF($G316&lt;&gt;"APARTADO","",IF(NOT(ISNUMBER($C316)),"FALTA LA HORA",IF($C316&lt;1,"FALTA LA FECHA",TEXT($C316+1,"dd/mm hh:mm"))))</f>
        <v/>
      </c>
    </row>
    <row r="317">
      <c r="A317" s="13" t="inlineStr">
        <is>
          <t>315</t>
        </is>
      </c>
      <c r="B317" t="inlineStr">
        <is>
          <t>LIBRE</t>
        </is>
      </c>
      <c r="C317" s="14" t="n"/>
      <c r="E317" s="15">
        <f>IF($G317&lt;&gt;"PAGADO","",IFERROR(IF(VLOOKUP($A317,COMPRADORES!$A:$D,4,FALSE)="NO","Reservado",LEFT(VLOOKUP($A317,COMPRADORES!$A:$D,2,FALSE),3)&amp;"***"&amp;IF(TRIM(MID(VLOOKUP($A317,COMPRADORES!$A:$D,2,FALSE)&amp;" ",FIND(" ",VLOOKUP($A317,COMPRADORES!$A:$D,2,FALSE)&amp;" ")+1,99))="",""," "&amp;LEFT(TRIM(MID(VLOOKUP($A317,COMPRADORES!$A:$D,2,FALSE)&amp;" ",FIND(" ",VLOOKUP($A317,COMPRADORES!$A:$D,2,FALSE)&amp;" ")+1,99)),1)&amp;".")),""))</f>
        <v/>
      </c>
      <c r="F317" s="16">
        <f>IF($B317="PAGADO",MID("ABCDEFGHIJ",INT(VALUE($A317)/100)+1,1)&amp;"-"&amp;$A317,"")</f>
        <v/>
      </c>
      <c r="G317" s="16">
        <f>IF($B317="PAGADO","PAGADO",IF($B317="APARTADO",IF(NOT(ISNUMBER($C317)),"APARTADO",IF($C317&lt;1,"APARTADO",IF(NOW()-$C317&gt;1,"LIBRE","APARTADO"))),"LIBRE"))</f>
        <v/>
      </c>
      <c r="H317" s="15">
        <f>IF($G317&lt;&gt;"APARTADO","",IF(NOT(ISNUMBER($C317)),"FALTA LA HORA",IF($C317&lt;1,"FALTA LA FECHA",TEXT($C317+1,"dd/mm hh:mm"))))</f>
        <v/>
      </c>
    </row>
    <row r="318">
      <c r="A318" s="13" t="inlineStr">
        <is>
          <t>316</t>
        </is>
      </c>
      <c r="B318" t="inlineStr">
        <is>
          <t>LIBRE</t>
        </is>
      </c>
      <c r="C318" s="14" t="n"/>
      <c r="E318" s="15">
        <f>IF($G318&lt;&gt;"PAGADO","",IFERROR(IF(VLOOKUP($A318,COMPRADORES!$A:$D,4,FALSE)="NO","Reservado",LEFT(VLOOKUP($A318,COMPRADORES!$A:$D,2,FALSE),3)&amp;"***"&amp;IF(TRIM(MID(VLOOKUP($A318,COMPRADORES!$A:$D,2,FALSE)&amp;" ",FIND(" ",VLOOKUP($A318,COMPRADORES!$A:$D,2,FALSE)&amp;" ")+1,99))="",""," "&amp;LEFT(TRIM(MID(VLOOKUP($A318,COMPRADORES!$A:$D,2,FALSE)&amp;" ",FIND(" ",VLOOKUP($A318,COMPRADORES!$A:$D,2,FALSE)&amp;" ")+1,99)),1)&amp;".")),""))</f>
        <v/>
      </c>
      <c r="F318" s="16">
        <f>IF($B318="PAGADO",MID("ABCDEFGHIJ",INT(VALUE($A318)/100)+1,1)&amp;"-"&amp;$A318,"")</f>
        <v/>
      </c>
      <c r="G318" s="16">
        <f>IF($B318="PAGADO","PAGADO",IF($B318="APARTADO",IF(NOT(ISNUMBER($C318)),"APARTADO",IF($C318&lt;1,"APARTADO",IF(NOW()-$C318&gt;1,"LIBRE","APARTADO"))),"LIBRE"))</f>
        <v/>
      </c>
      <c r="H318" s="15">
        <f>IF($G318&lt;&gt;"APARTADO","",IF(NOT(ISNUMBER($C318)),"FALTA LA HORA",IF($C318&lt;1,"FALTA LA FECHA",TEXT($C318+1,"dd/mm hh:mm"))))</f>
        <v/>
      </c>
    </row>
    <row r="319">
      <c r="A319" s="13" t="inlineStr">
        <is>
          <t>317</t>
        </is>
      </c>
      <c r="B319" t="inlineStr">
        <is>
          <t>LIBRE</t>
        </is>
      </c>
      <c r="C319" s="14" t="n"/>
      <c r="E319" s="15">
        <f>IF($G319&lt;&gt;"PAGADO","",IFERROR(IF(VLOOKUP($A319,COMPRADORES!$A:$D,4,FALSE)="NO","Reservado",LEFT(VLOOKUP($A319,COMPRADORES!$A:$D,2,FALSE),3)&amp;"***"&amp;IF(TRIM(MID(VLOOKUP($A319,COMPRADORES!$A:$D,2,FALSE)&amp;" ",FIND(" ",VLOOKUP($A319,COMPRADORES!$A:$D,2,FALSE)&amp;" ")+1,99))="",""," "&amp;LEFT(TRIM(MID(VLOOKUP($A319,COMPRADORES!$A:$D,2,FALSE)&amp;" ",FIND(" ",VLOOKUP($A319,COMPRADORES!$A:$D,2,FALSE)&amp;" ")+1,99)),1)&amp;".")),""))</f>
        <v/>
      </c>
      <c r="F319" s="16">
        <f>IF($B319="PAGADO",MID("ABCDEFGHIJ",INT(VALUE($A319)/100)+1,1)&amp;"-"&amp;$A319,"")</f>
        <v/>
      </c>
      <c r="G319" s="16">
        <f>IF($B319="PAGADO","PAGADO",IF($B319="APARTADO",IF(NOT(ISNUMBER($C319)),"APARTADO",IF($C319&lt;1,"APARTADO",IF(NOW()-$C319&gt;1,"LIBRE","APARTADO"))),"LIBRE"))</f>
        <v/>
      </c>
      <c r="H319" s="15">
        <f>IF($G319&lt;&gt;"APARTADO","",IF(NOT(ISNUMBER($C319)),"FALTA LA HORA",IF($C319&lt;1,"FALTA LA FECHA",TEXT($C319+1,"dd/mm hh:mm"))))</f>
        <v/>
      </c>
    </row>
    <row r="320">
      <c r="A320" s="13" t="inlineStr">
        <is>
          <t>318</t>
        </is>
      </c>
      <c r="B320" t="inlineStr">
        <is>
          <t>LIBRE</t>
        </is>
      </c>
      <c r="C320" s="14" t="n"/>
      <c r="E320" s="15">
        <f>IF($G320&lt;&gt;"PAGADO","",IFERROR(IF(VLOOKUP($A320,COMPRADORES!$A:$D,4,FALSE)="NO","Reservado",LEFT(VLOOKUP($A320,COMPRADORES!$A:$D,2,FALSE),3)&amp;"***"&amp;IF(TRIM(MID(VLOOKUP($A320,COMPRADORES!$A:$D,2,FALSE)&amp;" ",FIND(" ",VLOOKUP($A320,COMPRADORES!$A:$D,2,FALSE)&amp;" ")+1,99))="",""," "&amp;LEFT(TRIM(MID(VLOOKUP($A320,COMPRADORES!$A:$D,2,FALSE)&amp;" ",FIND(" ",VLOOKUP($A320,COMPRADORES!$A:$D,2,FALSE)&amp;" ")+1,99)),1)&amp;".")),""))</f>
        <v/>
      </c>
      <c r="F320" s="16">
        <f>IF($B320="PAGADO",MID("ABCDEFGHIJ",INT(VALUE($A320)/100)+1,1)&amp;"-"&amp;$A320,"")</f>
        <v/>
      </c>
      <c r="G320" s="16">
        <f>IF($B320="PAGADO","PAGADO",IF($B320="APARTADO",IF(NOT(ISNUMBER($C320)),"APARTADO",IF($C320&lt;1,"APARTADO",IF(NOW()-$C320&gt;1,"LIBRE","APARTADO"))),"LIBRE"))</f>
        <v/>
      </c>
      <c r="H320" s="15">
        <f>IF($G320&lt;&gt;"APARTADO","",IF(NOT(ISNUMBER($C320)),"FALTA LA HORA",IF($C320&lt;1,"FALTA LA FECHA",TEXT($C320+1,"dd/mm hh:mm"))))</f>
        <v/>
      </c>
    </row>
    <row r="321">
      <c r="A321" s="13" t="inlineStr">
        <is>
          <t>319</t>
        </is>
      </c>
      <c r="B321" t="inlineStr">
        <is>
          <t>LIBRE</t>
        </is>
      </c>
      <c r="C321" s="14" t="n"/>
      <c r="E321" s="15">
        <f>IF($G321&lt;&gt;"PAGADO","",IFERROR(IF(VLOOKUP($A321,COMPRADORES!$A:$D,4,FALSE)="NO","Reservado",LEFT(VLOOKUP($A321,COMPRADORES!$A:$D,2,FALSE),3)&amp;"***"&amp;IF(TRIM(MID(VLOOKUP($A321,COMPRADORES!$A:$D,2,FALSE)&amp;" ",FIND(" ",VLOOKUP($A321,COMPRADORES!$A:$D,2,FALSE)&amp;" ")+1,99))="",""," "&amp;LEFT(TRIM(MID(VLOOKUP($A321,COMPRADORES!$A:$D,2,FALSE)&amp;" ",FIND(" ",VLOOKUP($A321,COMPRADORES!$A:$D,2,FALSE)&amp;" ")+1,99)),1)&amp;".")),""))</f>
        <v/>
      </c>
      <c r="F321" s="16">
        <f>IF($B321="PAGADO",MID("ABCDEFGHIJ",INT(VALUE($A321)/100)+1,1)&amp;"-"&amp;$A321,"")</f>
        <v/>
      </c>
      <c r="G321" s="16">
        <f>IF($B321="PAGADO","PAGADO",IF($B321="APARTADO",IF(NOT(ISNUMBER($C321)),"APARTADO",IF($C321&lt;1,"APARTADO",IF(NOW()-$C321&gt;1,"LIBRE","APARTADO"))),"LIBRE"))</f>
        <v/>
      </c>
      <c r="H321" s="15">
        <f>IF($G321&lt;&gt;"APARTADO","",IF(NOT(ISNUMBER($C321)),"FALTA LA HORA",IF($C321&lt;1,"FALTA LA FECHA",TEXT($C321+1,"dd/mm hh:mm"))))</f>
        <v/>
      </c>
    </row>
    <row r="322">
      <c r="A322" s="13" t="inlineStr">
        <is>
          <t>320</t>
        </is>
      </c>
      <c r="B322" t="inlineStr">
        <is>
          <t>LIBRE</t>
        </is>
      </c>
      <c r="C322" s="14" t="n"/>
      <c r="E322" s="15">
        <f>IF($G322&lt;&gt;"PAGADO","",IFERROR(IF(VLOOKUP($A322,COMPRADORES!$A:$D,4,FALSE)="NO","Reservado",LEFT(VLOOKUP($A322,COMPRADORES!$A:$D,2,FALSE),3)&amp;"***"&amp;IF(TRIM(MID(VLOOKUP($A322,COMPRADORES!$A:$D,2,FALSE)&amp;" ",FIND(" ",VLOOKUP($A322,COMPRADORES!$A:$D,2,FALSE)&amp;" ")+1,99))="",""," "&amp;LEFT(TRIM(MID(VLOOKUP($A322,COMPRADORES!$A:$D,2,FALSE)&amp;" ",FIND(" ",VLOOKUP($A322,COMPRADORES!$A:$D,2,FALSE)&amp;" ")+1,99)),1)&amp;".")),""))</f>
        <v/>
      </c>
      <c r="F322" s="16">
        <f>IF($B322="PAGADO",MID("ABCDEFGHIJ",INT(VALUE($A322)/100)+1,1)&amp;"-"&amp;$A322,"")</f>
        <v/>
      </c>
      <c r="G322" s="16">
        <f>IF($B322="PAGADO","PAGADO",IF($B322="APARTADO",IF(NOT(ISNUMBER($C322)),"APARTADO",IF($C322&lt;1,"APARTADO",IF(NOW()-$C322&gt;1,"LIBRE","APARTADO"))),"LIBRE"))</f>
        <v/>
      </c>
      <c r="H322" s="15">
        <f>IF($G322&lt;&gt;"APARTADO","",IF(NOT(ISNUMBER($C322)),"FALTA LA HORA",IF($C322&lt;1,"FALTA LA FECHA",TEXT($C322+1,"dd/mm hh:mm"))))</f>
        <v/>
      </c>
    </row>
    <row r="323">
      <c r="A323" s="13" t="inlineStr">
        <is>
          <t>321</t>
        </is>
      </c>
      <c r="B323" t="inlineStr">
        <is>
          <t>LIBRE</t>
        </is>
      </c>
      <c r="C323" s="14" t="n"/>
      <c r="E323" s="15">
        <f>IF($G323&lt;&gt;"PAGADO","",IFERROR(IF(VLOOKUP($A323,COMPRADORES!$A:$D,4,FALSE)="NO","Reservado",LEFT(VLOOKUP($A323,COMPRADORES!$A:$D,2,FALSE),3)&amp;"***"&amp;IF(TRIM(MID(VLOOKUP($A323,COMPRADORES!$A:$D,2,FALSE)&amp;" ",FIND(" ",VLOOKUP($A323,COMPRADORES!$A:$D,2,FALSE)&amp;" ")+1,99))="",""," "&amp;LEFT(TRIM(MID(VLOOKUP($A323,COMPRADORES!$A:$D,2,FALSE)&amp;" ",FIND(" ",VLOOKUP($A323,COMPRADORES!$A:$D,2,FALSE)&amp;" ")+1,99)),1)&amp;".")),""))</f>
        <v/>
      </c>
      <c r="F323" s="16">
        <f>IF($B323="PAGADO",MID("ABCDEFGHIJ",INT(VALUE($A323)/100)+1,1)&amp;"-"&amp;$A323,"")</f>
        <v/>
      </c>
      <c r="G323" s="16">
        <f>IF($B323="PAGADO","PAGADO",IF($B323="APARTADO",IF(NOT(ISNUMBER($C323)),"APARTADO",IF($C323&lt;1,"APARTADO",IF(NOW()-$C323&gt;1,"LIBRE","APARTADO"))),"LIBRE"))</f>
        <v/>
      </c>
      <c r="H323" s="15">
        <f>IF($G323&lt;&gt;"APARTADO","",IF(NOT(ISNUMBER($C323)),"FALTA LA HORA",IF($C323&lt;1,"FALTA LA FECHA",TEXT($C323+1,"dd/mm hh:mm"))))</f>
        <v/>
      </c>
    </row>
    <row r="324">
      <c r="A324" s="13" t="inlineStr">
        <is>
          <t>322</t>
        </is>
      </c>
      <c r="B324" t="inlineStr">
        <is>
          <t>LIBRE</t>
        </is>
      </c>
      <c r="C324" s="14" t="n"/>
      <c r="E324" s="15">
        <f>IF($G324&lt;&gt;"PAGADO","",IFERROR(IF(VLOOKUP($A324,COMPRADORES!$A:$D,4,FALSE)="NO","Reservado",LEFT(VLOOKUP($A324,COMPRADORES!$A:$D,2,FALSE),3)&amp;"***"&amp;IF(TRIM(MID(VLOOKUP($A324,COMPRADORES!$A:$D,2,FALSE)&amp;" ",FIND(" ",VLOOKUP($A324,COMPRADORES!$A:$D,2,FALSE)&amp;" ")+1,99))="",""," "&amp;LEFT(TRIM(MID(VLOOKUP($A324,COMPRADORES!$A:$D,2,FALSE)&amp;" ",FIND(" ",VLOOKUP($A324,COMPRADORES!$A:$D,2,FALSE)&amp;" ")+1,99)),1)&amp;".")),""))</f>
        <v/>
      </c>
      <c r="F324" s="16">
        <f>IF($B324="PAGADO",MID("ABCDEFGHIJ",INT(VALUE($A324)/100)+1,1)&amp;"-"&amp;$A324,"")</f>
        <v/>
      </c>
      <c r="G324" s="16">
        <f>IF($B324="PAGADO","PAGADO",IF($B324="APARTADO",IF(NOT(ISNUMBER($C324)),"APARTADO",IF($C324&lt;1,"APARTADO",IF(NOW()-$C324&gt;1,"LIBRE","APARTADO"))),"LIBRE"))</f>
        <v/>
      </c>
      <c r="H324" s="15">
        <f>IF($G324&lt;&gt;"APARTADO","",IF(NOT(ISNUMBER($C324)),"FALTA LA HORA",IF($C324&lt;1,"FALTA LA FECHA",TEXT($C324+1,"dd/mm hh:mm"))))</f>
        <v/>
      </c>
    </row>
    <row r="325">
      <c r="A325" s="13" t="inlineStr">
        <is>
          <t>323</t>
        </is>
      </c>
      <c r="B325" t="inlineStr">
        <is>
          <t>LIBRE</t>
        </is>
      </c>
      <c r="C325" s="14" t="n"/>
      <c r="E325" s="15">
        <f>IF($G325&lt;&gt;"PAGADO","",IFERROR(IF(VLOOKUP($A325,COMPRADORES!$A:$D,4,FALSE)="NO","Reservado",LEFT(VLOOKUP($A325,COMPRADORES!$A:$D,2,FALSE),3)&amp;"***"&amp;IF(TRIM(MID(VLOOKUP($A325,COMPRADORES!$A:$D,2,FALSE)&amp;" ",FIND(" ",VLOOKUP($A325,COMPRADORES!$A:$D,2,FALSE)&amp;" ")+1,99))="",""," "&amp;LEFT(TRIM(MID(VLOOKUP($A325,COMPRADORES!$A:$D,2,FALSE)&amp;" ",FIND(" ",VLOOKUP($A325,COMPRADORES!$A:$D,2,FALSE)&amp;" ")+1,99)),1)&amp;".")),""))</f>
        <v/>
      </c>
      <c r="F325" s="16">
        <f>IF($B325="PAGADO",MID("ABCDEFGHIJ",INT(VALUE($A325)/100)+1,1)&amp;"-"&amp;$A325,"")</f>
        <v/>
      </c>
      <c r="G325" s="16">
        <f>IF($B325="PAGADO","PAGADO",IF($B325="APARTADO",IF(NOT(ISNUMBER($C325)),"APARTADO",IF($C325&lt;1,"APARTADO",IF(NOW()-$C325&gt;1,"LIBRE","APARTADO"))),"LIBRE"))</f>
        <v/>
      </c>
      <c r="H325" s="15">
        <f>IF($G325&lt;&gt;"APARTADO","",IF(NOT(ISNUMBER($C325)),"FALTA LA HORA",IF($C325&lt;1,"FALTA LA FECHA",TEXT($C325+1,"dd/mm hh:mm"))))</f>
        <v/>
      </c>
    </row>
    <row r="326">
      <c r="A326" s="13" t="inlineStr">
        <is>
          <t>324</t>
        </is>
      </c>
      <c r="B326" t="inlineStr">
        <is>
          <t>LIBRE</t>
        </is>
      </c>
      <c r="C326" s="14" t="n"/>
      <c r="E326" s="15">
        <f>IF($G326&lt;&gt;"PAGADO","",IFERROR(IF(VLOOKUP($A326,COMPRADORES!$A:$D,4,FALSE)="NO","Reservado",LEFT(VLOOKUP($A326,COMPRADORES!$A:$D,2,FALSE),3)&amp;"***"&amp;IF(TRIM(MID(VLOOKUP($A326,COMPRADORES!$A:$D,2,FALSE)&amp;" ",FIND(" ",VLOOKUP($A326,COMPRADORES!$A:$D,2,FALSE)&amp;" ")+1,99))="",""," "&amp;LEFT(TRIM(MID(VLOOKUP($A326,COMPRADORES!$A:$D,2,FALSE)&amp;" ",FIND(" ",VLOOKUP($A326,COMPRADORES!$A:$D,2,FALSE)&amp;" ")+1,99)),1)&amp;".")),""))</f>
        <v/>
      </c>
      <c r="F326" s="16">
        <f>IF($B326="PAGADO",MID("ABCDEFGHIJ",INT(VALUE($A326)/100)+1,1)&amp;"-"&amp;$A326,"")</f>
        <v/>
      </c>
      <c r="G326" s="16">
        <f>IF($B326="PAGADO","PAGADO",IF($B326="APARTADO",IF(NOT(ISNUMBER($C326)),"APARTADO",IF($C326&lt;1,"APARTADO",IF(NOW()-$C326&gt;1,"LIBRE","APARTADO"))),"LIBRE"))</f>
        <v/>
      </c>
      <c r="H326" s="15">
        <f>IF($G326&lt;&gt;"APARTADO","",IF(NOT(ISNUMBER($C326)),"FALTA LA HORA",IF($C326&lt;1,"FALTA LA FECHA",TEXT($C326+1,"dd/mm hh:mm"))))</f>
        <v/>
      </c>
    </row>
    <row r="327">
      <c r="A327" s="13" t="inlineStr">
        <is>
          <t>325</t>
        </is>
      </c>
      <c r="B327" t="inlineStr">
        <is>
          <t>LIBRE</t>
        </is>
      </c>
      <c r="C327" s="14" t="n"/>
      <c r="E327" s="15">
        <f>IF($G327&lt;&gt;"PAGADO","",IFERROR(IF(VLOOKUP($A327,COMPRADORES!$A:$D,4,FALSE)="NO","Reservado",LEFT(VLOOKUP($A327,COMPRADORES!$A:$D,2,FALSE),3)&amp;"***"&amp;IF(TRIM(MID(VLOOKUP($A327,COMPRADORES!$A:$D,2,FALSE)&amp;" ",FIND(" ",VLOOKUP($A327,COMPRADORES!$A:$D,2,FALSE)&amp;" ")+1,99))="",""," "&amp;LEFT(TRIM(MID(VLOOKUP($A327,COMPRADORES!$A:$D,2,FALSE)&amp;" ",FIND(" ",VLOOKUP($A327,COMPRADORES!$A:$D,2,FALSE)&amp;" ")+1,99)),1)&amp;".")),""))</f>
        <v/>
      </c>
      <c r="F327" s="16">
        <f>IF($B327="PAGADO",MID("ABCDEFGHIJ",INT(VALUE($A327)/100)+1,1)&amp;"-"&amp;$A327,"")</f>
        <v/>
      </c>
      <c r="G327" s="16">
        <f>IF($B327="PAGADO","PAGADO",IF($B327="APARTADO",IF(NOT(ISNUMBER($C327)),"APARTADO",IF($C327&lt;1,"APARTADO",IF(NOW()-$C327&gt;1,"LIBRE","APARTADO"))),"LIBRE"))</f>
        <v/>
      </c>
      <c r="H327" s="15">
        <f>IF($G327&lt;&gt;"APARTADO","",IF(NOT(ISNUMBER($C327)),"FALTA LA HORA",IF($C327&lt;1,"FALTA LA FECHA",TEXT($C327+1,"dd/mm hh:mm"))))</f>
        <v/>
      </c>
    </row>
    <row r="328">
      <c r="A328" s="13" t="inlineStr">
        <is>
          <t>326</t>
        </is>
      </c>
      <c r="B328" t="inlineStr">
        <is>
          <t>LIBRE</t>
        </is>
      </c>
      <c r="C328" s="14" t="n"/>
      <c r="E328" s="15">
        <f>IF($G328&lt;&gt;"PAGADO","",IFERROR(IF(VLOOKUP($A328,COMPRADORES!$A:$D,4,FALSE)="NO","Reservado",LEFT(VLOOKUP($A328,COMPRADORES!$A:$D,2,FALSE),3)&amp;"***"&amp;IF(TRIM(MID(VLOOKUP($A328,COMPRADORES!$A:$D,2,FALSE)&amp;" ",FIND(" ",VLOOKUP($A328,COMPRADORES!$A:$D,2,FALSE)&amp;" ")+1,99))="",""," "&amp;LEFT(TRIM(MID(VLOOKUP($A328,COMPRADORES!$A:$D,2,FALSE)&amp;" ",FIND(" ",VLOOKUP($A328,COMPRADORES!$A:$D,2,FALSE)&amp;" ")+1,99)),1)&amp;".")),""))</f>
        <v/>
      </c>
      <c r="F328" s="16">
        <f>IF($B328="PAGADO",MID("ABCDEFGHIJ",INT(VALUE($A328)/100)+1,1)&amp;"-"&amp;$A328,"")</f>
        <v/>
      </c>
      <c r="G328" s="16">
        <f>IF($B328="PAGADO","PAGADO",IF($B328="APARTADO",IF(NOT(ISNUMBER($C328)),"APARTADO",IF($C328&lt;1,"APARTADO",IF(NOW()-$C328&gt;1,"LIBRE","APARTADO"))),"LIBRE"))</f>
        <v/>
      </c>
      <c r="H328" s="15">
        <f>IF($G328&lt;&gt;"APARTADO","",IF(NOT(ISNUMBER($C328)),"FALTA LA HORA",IF($C328&lt;1,"FALTA LA FECHA",TEXT($C328+1,"dd/mm hh:mm"))))</f>
        <v/>
      </c>
    </row>
    <row r="329">
      <c r="A329" s="13" t="inlineStr">
        <is>
          <t>327</t>
        </is>
      </c>
      <c r="B329" t="inlineStr">
        <is>
          <t>LIBRE</t>
        </is>
      </c>
      <c r="C329" s="14" t="n"/>
      <c r="E329" s="15">
        <f>IF($G329&lt;&gt;"PAGADO","",IFERROR(IF(VLOOKUP($A329,COMPRADORES!$A:$D,4,FALSE)="NO","Reservado",LEFT(VLOOKUP($A329,COMPRADORES!$A:$D,2,FALSE),3)&amp;"***"&amp;IF(TRIM(MID(VLOOKUP($A329,COMPRADORES!$A:$D,2,FALSE)&amp;" ",FIND(" ",VLOOKUP($A329,COMPRADORES!$A:$D,2,FALSE)&amp;" ")+1,99))="",""," "&amp;LEFT(TRIM(MID(VLOOKUP($A329,COMPRADORES!$A:$D,2,FALSE)&amp;" ",FIND(" ",VLOOKUP($A329,COMPRADORES!$A:$D,2,FALSE)&amp;" ")+1,99)),1)&amp;".")),""))</f>
        <v/>
      </c>
      <c r="F329" s="16">
        <f>IF($B329="PAGADO",MID("ABCDEFGHIJ",INT(VALUE($A329)/100)+1,1)&amp;"-"&amp;$A329,"")</f>
        <v/>
      </c>
      <c r="G329" s="16">
        <f>IF($B329="PAGADO","PAGADO",IF($B329="APARTADO",IF(NOT(ISNUMBER($C329)),"APARTADO",IF($C329&lt;1,"APARTADO",IF(NOW()-$C329&gt;1,"LIBRE","APARTADO"))),"LIBRE"))</f>
        <v/>
      </c>
      <c r="H329" s="15">
        <f>IF($G329&lt;&gt;"APARTADO","",IF(NOT(ISNUMBER($C329)),"FALTA LA HORA",IF($C329&lt;1,"FALTA LA FECHA",TEXT($C329+1,"dd/mm hh:mm"))))</f>
        <v/>
      </c>
    </row>
    <row r="330">
      <c r="A330" s="13" t="inlineStr">
        <is>
          <t>328</t>
        </is>
      </c>
      <c r="B330" t="inlineStr">
        <is>
          <t>LIBRE</t>
        </is>
      </c>
      <c r="C330" s="14" t="n"/>
      <c r="E330" s="15">
        <f>IF($G330&lt;&gt;"PAGADO","",IFERROR(IF(VLOOKUP($A330,COMPRADORES!$A:$D,4,FALSE)="NO","Reservado",LEFT(VLOOKUP($A330,COMPRADORES!$A:$D,2,FALSE),3)&amp;"***"&amp;IF(TRIM(MID(VLOOKUP($A330,COMPRADORES!$A:$D,2,FALSE)&amp;" ",FIND(" ",VLOOKUP($A330,COMPRADORES!$A:$D,2,FALSE)&amp;" ")+1,99))="",""," "&amp;LEFT(TRIM(MID(VLOOKUP($A330,COMPRADORES!$A:$D,2,FALSE)&amp;" ",FIND(" ",VLOOKUP($A330,COMPRADORES!$A:$D,2,FALSE)&amp;" ")+1,99)),1)&amp;".")),""))</f>
        <v/>
      </c>
      <c r="F330" s="16">
        <f>IF($B330="PAGADO",MID("ABCDEFGHIJ",INT(VALUE($A330)/100)+1,1)&amp;"-"&amp;$A330,"")</f>
        <v/>
      </c>
      <c r="G330" s="16">
        <f>IF($B330="PAGADO","PAGADO",IF($B330="APARTADO",IF(NOT(ISNUMBER($C330)),"APARTADO",IF($C330&lt;1,"APARTADO",IF(NOW()-$C330&gt;1,"LIBRE","APARTADO"))),"LIBRE"))</f>
        <v/>
      </c>
      <c r="H330" s="15">
        <f>IF($G330&lt;&gt;"APARTADO","",IF(NOT(ISNUMBER($C330)),"FALTA LA HORA",IF($C330&lt;1,"FALTA LA FECHA",TEXT($C330+1,"dd/mm hh:mm"))))</f>
        <v/>
      </c>
    </row>
    <row r="331">
      <c r="A331" s="13" t="inlineStr">
        <is>
          <t>329</t>
        </is>
      </c>
      <c r="B331" t="inlineStr">
        <is>
          <t>LIBRE</t>
        </is>
      </c>
      <c r="C331" s="14" t="n"/>
      <c r="E331" s="15">
        <f>IF($G331&lt;&gt;"PAGADO","",IFERROR(IF(VLOOKUP($A331,COMPRADORES!$A:$D,4,FALSE)="NO","Reservado",LEFT(VLOOKUP($A331,COMPRADORES!$A:$D,2,FALSE),3)&amp;"***"&amp;IF(TRIM(MID(VLOOKUP($A331,COMPRADORES!$A:$D,2,FALSE)&amp;" ",FIND(" ",VLOOKUP($A331,COMPRADORES!$A:$D,2,FALSE)&amp;" ")+1,99))="",""," "&amp;LEFT(TRIM(MID(VLOOKUP($A331,COMPRADORES!$A:$D,2,FALSE)&amp;" ",FIND(" ",VLOOKUP($A331,COMPRADORES!$A:$D,2,FALSE)&amp;" ")+1,99)),1)&amp;".")),""))</f>
        <v/>
      </c>
      <c r="F331" s="16">
        <f>IF($B331="PAGADO",MID("ABCDEFGHIJ",INT(VALUE($A331)/100)+1,1)&amp;"-"&amp;$A331,"")</f>
        <v/>
      </c>
      <c r="G331" s="16">
        <f>IF($B331="PAGADO","PAGADO",IF($B331="APARTADO",IF(NOT(ISNUMBER($C331)),"APARTADO",IF($C331&lt;1,"APARTADO",IF(NOW()-$C331&gt;1,"LIBRE","APARTADO"))),"LIBRE"))</f>
        <v/>
      </c>
      <c r="H331" s="15">
        <f>IF($G331&lt;&gt;"APARTADO","",IF(NOT(ISNUMBER($C331)),"FALTA LA HORA",IF($C331&lt;1,"FALTA LA FECHA",TEXT($C331+1,"dd/mm hh:mm"))))</f>
        <v/>
      </c>
    </row>
    <row r="332">
      <c r="A332" s="13" t="inlineStr">
        <is>
          <t>330</t>
        </is>
      </c>
      <c r="B332" t="inlineStr">
        <is>
          <t>LIBRE</t>
        </is>
      </c>
      <c r="C332" s="14" t="n"/>
      <c r="E332" s="15">
        <f>IF($G332&lt;&gt;"PAGADO","",IFERROR(IF(VLOOKUP($A332,COMPRADORES!$A:$D,4,FALSE)="NO","Reservado",LEFT(VLOOKUP($A332,COMPRADORES!$A:$D,2,FALSE),3)&amp;"***"&amp;IF(TRIM(MID(VLOOKUP($A332,COMPRADORES!$A:$D,2,FALSE)&amp;" ",FIND(" ",VLOOKUP($A332,COMPRADORES!$A:$D,2,FALSE)&amp;" ")+1,99))="",""," "&amp;LEFT(TRIM(MID(VLOOKUP($A332,COMPRADORES!$A:$D,2,FALSE)&amp;" ",FIND(" ",VLOOKUP($A332,COMPRADORES!$A:$D,2,FALSE)&amp;" ")+1,99)),1)&amp;".")),""))</f>
        <v/>
      </c>
      <c r="F332" s="16">
        <f>IF($B332="PAGADO",MID("ABCDEFGHIJ",INT(VALUE($A332)/100)+1,1)&amp;"-"&amp;$A332,"")</f>
        <v/>
      </c>
      <c r="G332" s="16">
        <f>IF($B332="PAGADO","PAGADO",IF($B332="APARTADO",IF(NOT(ISNUMBER($C332)),"APARTADO",IF($C332&lt;1,"APARTADO",IF(NOW()-$C332&gt;1,"LIBRE","APARTADO"))),"LIBRE"))</f>
        <v/>
      </c>
      <c r="H332" s="15">
        <f>IF($G332&lt;&gt;"APARTADO","",IF(NOT(ISNUMBER($C332)),"FALTA LA HORA",IF($C332&lt;1,"FALTA LA FECHA",TEXT($C332+1,"dd/mm hh:mm"))))</f>
        <v/>
      </c>
    </row>
    <row r="333">
      <c r="A333" s="13" t="inlineStr">
        <is>
          <t>331</t>
        </is>
      </c>
      <c r="B333" t="inlineStr">
        <is>
          <t>LIBRE</t>
        </is>
      </c>
      <c r="C333" s="14" t="n"/>
      <c r="E333" s="15">
        <f>IF($G333&lt;&gt;"PAGADO","",IFERROR(IF(VLOOKUP($A333,COMPRADORES!$A:$D,4,FALSE)="NO","Reservado",LEFT(VLOOKUP($A333,COMPRADORES!$A:$D,2,FALSE),3)&amp;"***"&amp;IF(TRIM(MID(VLOOKUP($A333,COMPRADORES!$A:$D,2,FALSE)&amp;" ",FIND(" ",VLOOKUP($A333,COMPRADORES!$A:$D,2,FALSE)&amp;" ")+1,99))="",""," "&amp;LEFT(TRIM(MID(VLOOKUP($A333,COMPRADORES!$A:$D,2,FALSE)&amp;" ",FIND(" ",VLOOKUP($A333,COMPRADORES!$A:$D,2,FALSE)&amp;" ")+1,99)),1)&amp;".")),""))</f>
        <v/>
      </c>
      <c r="F333" s="16">
        <f>IF($B333="PAGADO",MID("ABCDEFGHIJ",INT(VALUE($A333)/100)+1,1)&amp;"-"&amp;$A333,"")</f>
        <v/>
      </c>
      <c r="G333" s="16">
        <f>IF($B333="PAGADO","PAGADO",IF($B333="APARTADO",IF(NOT(ISNUMBER($C333)),"APARTADO",IF($C333&lt;1,"APARTADO",IF(NOW()-$C333&gt;1,"LIBRE","APARTADO"))),"LIBRE"))</f>
        <v/>
      </c>
      <c r="H333" s="15">
        <f>IF($G333&lt;&gt;"APARTADO","",IF(NOT(ISNUMBER($C333)),"FALTA LA HORA",IF($C333&lt;1,"FALTA LA FECHA",TEXT($C333+1,"dd/mm hh:mm"))))</f>
        <v/>
      </c>
    </row>
    <row r="334">
      <c r="A334" s="13" t="inlineStr">
        <is>
          <t>332</t>
        </is>
      </c>
      <c r="B334" t="inlineStr">
        <is>
          <t>LIBRE</t>
        </is>
      </c>
      <c r="C334" s="14" t="n"/>
      <c r="E334" s="15">
        <f>IF($G334&lt;&gt;"PAGADO","",IFERROR(IF(VLOOKUP($A334,COMPRADORES!$A:$D,4,FALSE)="NO","Reservado",LEFT(VLOOKUP($A334,COMPRADORES!$A:$D,2,FALSE),3)&amp;"***"&amp;IF(TRIM(MID(VLOOKUP($A334,COMPRADORES!$A:$D,2,FALSE)&amp;" ",FIND(" ",VLOOKUP($A334,COMPRADORES!$A:$D,2,FALSE)&amp;" ")+1,99))="",""," "&amp;LEFT(TRIM(MID(VLOOKUP($A334,COMPRADORES!$A:$D,2,FALSE)&amp;" ",FIND(" ",VLOOKUP($A334,COMPRADORES!$A:$D,2,FALSE)&amp;" ")+1,99)),1)&amp;".")),""))</f>
        <v/>
      </c>
      <c r="F334" s="16">
        <f>IF($B334="PAGADO",MID("ABCDEFGHIJ",INT(VALUE($A334)/100)+1,1)&amp;"-"&amp;$A334,"")</f>
        <v/>
      </c>
      <c r="G334" s="16">
        <f>IF($B334="PAGADO","PAGADO",IF($B334="APARTADO",IF(NOT(ISNUMBER($C334)),"APARTADO",IF($C334&lt;1,"APARTADO",IF(NOW()-$C334&gt;1,"LIBRE","APARTADO"))),"LIBRE"))</f>
        <v/>
      </c>
      <c r="H334" s="15">
        <f>IF($G334&lt;&gt;"APARTADO","",IF(NOT(ISNUMBER($C334)),"FALTA LA HORA",IF($C334&lt;1,"FALTA LA FECHA",TEXT($C334+1,"dd/mm hh:mm"))))</f>
        <v/>
      </c>
    </row>
    <row r="335">
      <c r="A335" s="13" t="inlineStr">
        <is>
          <t>333</t>
        </is>
      </c>
      <c r="B335" t="inlineStr">
        <is>
          <t>LIBRE</t>
        </is>
      </c>
      <c r="C335" s="14" t="n"/>
      <c r="E335" s="15">
        <f>IF($G335&lt;&gt;"PAGADO","",IFERROR(IF(VLOOKUP($A335,COMPRADORES!$A:$D,4,FALSE)="NO","Reservado",LEFT(VLOOKUP($A335,COMPRADORES!$A:$D,2,FALSE),3)&amp;"***"&amp;IF(TRIM(MID(VLOOKUP($A335,COMPRADORES!$A:$D,2,FALSE)&amp;" ",FIND(" ",VLOOKUP($A335,COMPRADORES!$A:$D,2,FALSE)&amp;" ")+1,99))="",""," "&amp;LEFT(TRIM(MID(VLOOKUP($A335,COMPRADORES!$A:$D,2,FALSE)&amp;" ",FIND(" ",VLOOKUP($A335,COMPRADORES!$A:$D,2,FALSE)&amp;" ")+1,99)),1)&amp;".")),""))</f>
        <v/>
      </c>
      <c r="F335" s="16">
        <f>IF($B335="PAGADO",MID("ABCDEFGHIJ",INT(VALUE($A335)/100)+1,1)&amp;"-"&amp;$A335,"")</f>
        <v/>
      </c>
      <c r="G335" s="16">
        <f>IF($B335="PAGADO","PAGADO",IF($B335="APARTADO",IF(NOT(ISNUMBER($C335)),"APARTADO",IF($C335&lt;1,"APARTADO",IF(NOW()-$C335&gt;1,"LIBRE","APARTADO"))),"LIBRE"))</f>
        <v/>
      </c>
      <c r="H335" s="15">
        <f>IF($G335&lt;&gt;"APARTADO","",IF(NOT(ISNUMBER($C335)),"FALTA LA HORA",IF($C335&lt;1,"FALTA LA FECHA",TEXT($C335+1,"dd/mm hh:mm"))))</f>
        <v/>
      </c>
    </row>
    <row r="336">
      <c r="A336" s="13" t="inlineStr">
        <is>
          <t>334</t>
        </is>
      </c>
      <c r="B336" t="inlineStr">
        <is>
          <t>LIBRE</t>
        </is>
      </c>
      <c r="C336" s="14" t="n"/>
      <c r="E336" s="15">
        <f>IF($G336&lt;&gt;"PAGADO","",IFERROR(IF(VLOOKUP($A336,COMPRADORES!$A:$D,4,FALSE)="NO","Reservado",LEFT(VLOOKUP($A336,COMPRADORES!$A:$D,2,FALSE),3)&amp;"***"&amp;IF(TRIM(MID(VLOOKUP($A336,COMPRADORES!$A:$D,2,FALSE)&amp;" ",FIND(" ",VLOOKUP($A336,COMPRADORES!$A:$D,2,FALSE)&amp;" ")+1,99))="",""," "&amp;LEFT(TRIM(MID(VLOOKUP($A336,COMPRADORES!$A:$D,2,FALSE)&amp;" ",FIND(" ",VLOOKUP($A336,COMPRADORES!$A:$D,2,FALSE)&amp;" ")+1,99)),1)&amp;".")),""))</f>
        <v/>
      </c>
      <c r="F336" s="16">
        <f>IF($B336="PAGADO",MID("ABCDEFGHIJ",INT(VALUE($A336)/100)+1,1)&amp;"-"&amp;$A336,"")</f>
        <v/>
      </c>
      <c r="G336" s="16">
        <f>IF($B336="PAGADO","PAGADO",IF($B336="APARTADO",IF(NOT(ISNUMBER($C336)),"APARTADO",IF($C336&lt;1,"APARTADO",IF(NOW()-$C336&gt;1,"LIBRE","APARTADO"))),"LIBRE"))</f>
        <v/>
      </c>
      <c r="H336" s="15">
        <f>IF($G336&lt;&gt;"APARTADO","",IF(NOT(ISNUMBER($C336)),"FALTA LA HORA",IF($C336&lt;1,"FALTA LA FECHA",TEXT($C336+1,"dd/mm hh:mm"))))</f>
        <v/>
      </c>
    </row>
    <row r="337">
      <c r="A337" s="13" t="inlineStr">
        <is>
          <t>335</t>
        </is>
      </c>
      <c r="B337" t="inlineStr">
        <is>
          <t>LIBRE</t>
        </is>
      </c>
      <c r="C337" s="14" t="n"/>
      <c r="E337" s="15">
        <f>IF($G337&lt;&gt;"PAGADO","",IFERROR(IF(VLOOKUP($A337,COMPRADORES!$A:$D,4,FALSE)="NO","Reservado",LEFT(VLOOKUP($A337,COMPRADORES!$A:$D,2,FALSE),3)&amp;"***"&amp;IF(TRIM(MID(VLOOKUP($A337,COMPRADORES!$A:$D,2,FALSE)&amp;" ",FIND(" ",VLOOKUP($A337,COMPRADORES!$A:$D,2,FALSE)&amp;" ")+1,99))="",""," "&amp;LEFT(TRIM(MID(VLOOKUP($A337,COMPRADORES!$A:$D,2,FALSE)&amp;" ",FIND(" ",VLOOKUP($A337,COMPRADORES!$A:$D,2,FALSE)&amp;" ")+1,99)),1)&amp;".")),""))</f>
        <v/>
      </c>
      <c r="F337" s="16">
        <f>IF($B337="PAGADO",MID("ABCDEFGHIJ",INT(VALUE($A337)/100)+1,1)&amp;"-"&amp;$A337,"")</f>
        <v/>
      </c>
      <c r="G337" s="16">
        <f>IF($B337="PAGADO","PAGADO",IF($B337="APARTADO",IF(NOT(ISNUMBER($C337)),"APARTADO",IF($C337&lt;1,"APARTADO",IF(NOW()-$C337&gt;1,"LIBRE","APARTADO"))),"LIBRE"))</f>
        <v/>
      </c>
      <c r="H337" s="15">
        <f>IF($G337&lt;&gt;"APARTADO","",IF(NOT(ISNUMBER($C337)),"FALTA LA HORA",IF($C337&lt;1,"FALTA LA FECHA",TEXT($C337+1,"dd/mm hh:mm"))))</f>
        <v/>
      </c>
    </row>
    <row r="338">
      <c r="A338" s="13" t="inlineStr">
        <is>
          <t>336</t>
        </is>
      </c>
      <c r="B338" t="inlineStr">
        <is>
          <t>LIBRE</t>
        </is>
      </c>
      <c r="C338" s="14" t="n"/>
      <c r="E338" s="15">
        <f>IF($G338&lt;&gt;"PAGADO","",IFERROR(IF(VLOOKUP($A338,COMPRADORES!$A:$D,4,FALSE)="NO","Reservado",LEFT(VLOOKUP($A338,COMPRADORES!$A:$D,2,FALSE),3)&amp;"***"&amp;IF(TRIM(MID(VLOOKUP($A338,COMPRADORES!$A:$D,2,FALSE)&amp;" ",FIND(" ",VLOOKUP($A338,COMPRADORES!$A:$D,2,FALSE)&amp;" ")+1,99))="",""," "&amp;LEFT(TRIM(MID(VLOOKUP($A338,COMPRADORES!$A:$D,2,FALSE)&amp;" ",FIND(" ",VLOOKUP($A338,COMPRADORES!$A:$D,2,FALSE)&amp;" ")+1,99)),1)&amp;".")),""))</f>
        <v/>
      </c>
      <c r="F338" s="16">
        <f>IF($B338="PAGADO",MID("ABCDEFGHIJ",INT(VALUE($A338)/100)+1,1)&amp;"-"&amp;$A338,"")</f>
        <v/>
      </c>
      <c r="G338" s="16">
        <f>IF($B338="PAGADO","PAGADO",IF($B338="APARTADO",IF(NOT(ISNUMBER($C338)),"APARTADO",IF($C338&lt;1,"APARTADO",IF(NOW()-$C338&gt;1,"LIBRE","APARTADO"))),"LIBRE"))</f>
        <v/>
      </c>
      <c r="H338" s="15">
        <f>IF($G338&lt;&gt;"APARTADO","",IF(NOT(ISNUMBER($C338)),"FALTA LA HORA",IF($C338&lt;1,"FALTA LA FECHA",TEXT($C338+1,"dd/mm hh:mm"))))</f>
        <v/>
      </c>
    </row>
    <row r="339">
      <c r="A339" s="13" t="inlineStr">
        <is>
          <t>337</t>
        </is>
      </c>
      <c r="B339" t="inlineStr">
        <is>
          <t>LIBRE</t>
        </is>
      </c>
      <c r="C339" s="14" t="n"/>
      <c r="E339" s="15">
        <f>IF($G339&lt;&gt;"PAGADO","",IFERROR(IF(VLOOKUP($A339,COMPRADORES!$A:$D,4,FALSE)="NO","Reservado",LEFT(VLOOKUP($A339,COMPRADORES!$A:$D,2,FALSE),3)&amp;"***"&amp;IF(TRIM(MID(VLOOKUP($A339,COMPRADORES!$A:$D,2,FALSE)&amp;" ",FIND(" ",VLOOKUP($A339,COMPRADORES!$A:$D,2,FALSE)&amp;" ")+1,99))="",""," "&amp;LEFT(TRIM(MID(VLOOKUP($A339,COMPRADORES!$A:$D,2,FALSE)&amp;" ",FIND(" ",VLOOKUP($A339,COMPRADORES!$A:$D,2,FALSE)&amp;" ")+1,99)),1)&amp;".")),""))</f>
        <v/>
      </c>
      <c r="F339" s="16">
        <f>IF($B339="PAGADO",MID("ABCDEFGHIJ",INT(VALUE($A339)/100)+1,1)&amp;"-"&amp;$A339,"")</f>
        <v/>
      </c>
      <c r="G339" s="16">
        <f>IF($B339="PAGADO","PAGADO",IF($B339="APARTADO",IF(NOT(ISNUMBER($C339)),"APARTADO",IF($C339&lt;1,"APARTADO",IF(NOW()-$C339&gt;1,"LIBRE","APARTADO"))),"LIBRE"))</f>
        <v/>
      </c>
      <c r="H339" s="15">
        <f>IF($G339&lt;&gt;"APARTADO","",IF(NOT(ISNUMBER($C339)),"FALTA LA HORA",IF($C339&lt;1,"FALTA LA FECHA",TEXT($C339+1,"dd/mm hh:mm"))))</f>
        <v/>
      </c>
    </row>
    <row r="340">
      <c r="A340" s="13" t="inlineStr">
        <is>
          <t>338</t>
        </is>
      </c>
      <c r="B340" t="inlineStr">
        <is>
          <t>LIBRE</t>
        </is>
      </c>
      <c r="C340" s="14" t="n"/>
      <c r="E340" s="15">
        <f>IF($G340&lt;&gt;"PAGADO","",IFERROR(IF(VLOOKUP($A340,COMPRADORES!$A:$D,4,FALSE)="NO","Reservado",LEFT(VLOOKUP($A340,COMPRADORES!$A:$D,2,FALSE),3)&amp;"***"&amp;IF(TRIM(MID(VLOOKUP($A340,COMPRADORES!$A:$D,2,FALSE)&amp;" ",FIND(" ",VLOOKUP($A340,COMPRADORES!$A:$D,2,FALSE)&amp;" ")+1,99))="",""," "&amp;LEFT(TRIM(MID(VLOOKUP($A340,COMPRADORES!$A:$D,2,FALSE)&amp;" ",FIND(" ",VLOOKUP($A340,COMPRADORES!$A:$D,2,FALSE)&amp;" ")+1,99)),1)&amp;".")),""))</f>
        <v/>
      </c>
      <c r="F340" s="16">
        <f>IF($B340="PAGADO",MID("ABCDEFGHIJ",INT(VALUE($A340)/100)+1,1)&amp;"-"&amp;$A340,"")</f>
        <v/>
      </c>
      <c r="G340" s="16">
        <f>IF($B340="PAGADO","PAGADO",IF($B340="APARTADO",IF(NOT(ISNUMBER($C340)),"APARTADO",IF($C340&lt;1,"APARTADO",IF(NOW()-$C340&gt;1,"LIBRE","APARTADO"))),"LIBRE"))</f>
        <v/>
      </c>
      <c r="H340" s="15">
        <f>IF($G340&lt;&gt;"APARTADO","",IF(NOT(ISNUMBER($C340)),"FALTA LA HORA",IF($C340&lt;1,"FALTA LA FECHA",TEXT($C340+1,"dd/mm hh:mm"))))</f>
        <v/>
      </c>
    </row>
    <row r="341">
      <c r="A341" s="13" t="inlineStr">
        <is>
          <t>339</t>
        </is>
      </c>
      <c r="B341" t="inlineStr">
        <is>
          <t>LIBRE</t>
        </is>
      </c>
      <c r="C341" s="14" t="n"/>
      <c r="E341" s="15">
        <f>IF($G341&lt;&gt;"PAGADO","",IFERROR(IF(VLOOKUP($A341,COMPRADORES!$A:$D,4,FALSE)="NO","Reservado",LEFT(VLOOKUP($A341,COMPRADORES!$A:$D,2,FALSE),3)&amp;"***"&amp;IF(TRIM(MID(VLOOKUP($A341,COMPRADORES!$A:$D,2,FALSE)&amp;" ",FIND(" ",VLOOKUP($A341,COMPRADORES!$A:$D,2,FALSE)&amp;" ")+1,99))="",""," "&amp;LEFT(TRIM(MID(VLOOKUP($A341,COMPRADORES!$A:$D,2,FALSE)&amp;" ",FIND(" ",VLOOKUP($A341,COMPRADORES!$A:$D,2,FALSE)&amp;" ")+1,99)),1)&amp;".")),""))</f>
        <v/>
      </c>
      <c r="F341" s="16">
        <f>IF($B341="PAGADO",MID("ABCDEFGHIJ",INT(VALUE($A341)/100)+1,1)&amp;"-"&amp;$A341,"")</f>
        <v/>
      </c>
      <c r="G341" s="16">
        <f>IF($B341="PAGADO","PAGADO",IF($B341="APARTADO",IF(NOT(ISNUMBER($C341)),"APARTADO",IF($C341&lt;1,"APARTADO",IF(NOW()-$C341&gt;1,"LIBRE","APARTADO"))),"LIBRE"))</f>
        <v/>
      </c>
      <c r="H341" s="15">
        <f>IF($G341&lt;&gt;"APARTADO","",IF(NOT(ISNUMBER($C341)),"FALTA LA HORA",IF($C341&lt;1,"FALTA LA FECHA",TEXT($C341+1,"dd/mm hh:mm"))))</f>
        <v/>
      </c>
    </row>
    <row r="342">
      <c r="A342" s="13" t="inlineStr">
        <is>
          <t>340</t>
        </is>
      </c>
      <c r="B342" t="inlineStr">
        <is>
          <t>LIBRE</t>
        </is>
      </c>
      <c r="C342" s="14" t="n"/>
      <c r="E342" s="15">
        <f>IF($G342&lt;&gt;"PAGADO","",IFERROR(IF(VLOOKUP($A342,COMPRADORES!$A:$D,4,FALSE)="NO","Reservado",LEFT(VLOOKUP($A342,COMPRADORES!$A:$D,2,FALSE),3)&amp;"***"&amp;IF(TRIM(MID(VLOOKUP($A342,COMPRADORES!$A:$D,2,FALSE)&amp;" ",FIND(" ",VLOOKUP($A342,COMPRADORES!$A:$D,2,FALSE)&amp;" ")+1,99))="",""," "&amp;LEFT(TRIM(MID(VLOOKUP($A342,COMPRADORES!$A:$D,2,FALSE)&amp;" ",FIND(" ",VLOOKUP($A342,COMPRADORES!$A:$D,2,FALSE)&amp;" ")+1,99)),1)&amp;".")),""))</f>
        <v/>
      </c>
      <c r="F342" s="16">
        <f>IF($B342="PAGADO",MID("ABCDEFGHIJ",INT(VALUE($A342)/100)+1,1)&amp;"-"&amp;$A342,"")</f>
        <v/>
      </c>
      <c r="G342" s="16">
        <f>IF($B342="PAGADO","PAGADO",IF($B342="APARTADO",IF(NOT(ISNUMBER($C342)),"APARTADO",IF($C342&lt;1,"APARTADO",IF(NOW()-$C342&gt;1,"LIBRE","APARTADO"))),"LIBRE"))</f>
        <v/>
      </c>
      <c r="H342" s="15">
        <f>IF($G342&lt;&gt;"APARTADO","",IF(NOT(ISNUMBER($C342)),"FALTA LA HORA",IF($C342&lt;1,"FALTA LA FECHA",TEXT($C342+1,"dd/mm hh:mm"))))</f>
        <v/>
      </c>
    </row>
    <row r="343">
      <c r="A343" s="13" t="inlineStr">
        <is>
          <t>341</t>
        </is>
      </c>
      <c r="B343" t="inlineStr">
        <is>
          <t>LIBRE</t>
        </is>
      </c>
      <c r="C343" s="14" t="n"/>
      <c r="E343" s="15">
        <f>IF($G343&lt;&gt;"PAGADO","",IFERROR(IF(VLOOKUP($A343,COMPRADORES!$A:$D,4,FALSE)="NO","Reservado",LEFT(VLOOKUP($A343,COMPRADORES!$A:$D,2,FALSE),3)&amp;"***"&amp;IF(TRIM(MID(VLOOKUP($A343,COMPRADORES!$A:$D,2,FALSE)&amp;" ",FIND(" ",VLOOKUP($A343,COMPRADORES!$A:$D,2,FALSE)&amp;" ")+1,99))="",""," "&amp;LEFT(TRIM(MID(VLOOKUP($A343,COMPRADORES!$A:$D,2,FALSE)&amp;" ",FIND(" ",VLOOKUP($A343,COMPRADORES!$A:$D,2,FALSE)&amp;" ")+1,99)),1)&amp;".")),""))</f>
        <v/>
      </c>
      <c r="F343" s="16">
        <f>IF($B343="PAGADO",MID("ABCDEFGHIJ",INT(VALUE($A343)/100)+1,1)&amp;"-"&amp;$A343,"")</f>
        <v/>
      </c>
      <c r="G343" s="16">
        <f>IF($B343="PAGADO","PAGADO",IF($B343="APARTADO",IF(NOT(ISNUMBER($C343)),"APARTADO",IF($C343&lt;1,"APARTADO",IF(NOW()-$C343&gt;1,"LIBRE","APARTADO"))),"LIBRE"))</f>
        <v/>
      </c>
      <c r="H343" s="15">
        <f>IF($G343&lt;&gt;"APARTADO","",IF(NOT(ISNUMBER($C343)),"FALTA LA HORA",IF($C343&lt;1,"FALTA LA FECHA",TEXT($C343+1,"dd/mm hh:mm"))))</f>
        <v/>
      </c>
    </row>
    <row r="344">
      <c r="A344" s="13" t="inlineStr">
        <is>
          <t>342</t>
        </is>
      </c>
      <c r="B344" t="inlineStr">
        <is>
          <t>LIBRE</t>
        </is>
      </c>
      <c r="C344" s="14" t="n"/>
      <c r="E344" s="15">
        <f>IF($G344&lt;&gt;"PAGADO","",IFERROR(IF(VLOOKUP($A344,COMPRADORES!$A:$D,4,FALSE)="NO","Reservado",LEFT(VLOOKUP($A344,COMPRADORES!$A:$D,2,FALSE),3)&amp;"***"&amp;IF(TRIM(MID(VLOOKUP($A344,COMPRADORES!$A:$D,2,FALSE)&amp;" ",FIND(" ",VLOOKUP($A344,COMPRADORES!$A:$D,2,FALSE)&amp;" ")+1,99))="",""," "&amp;LEFT(TRIM(MID(VLOOKUP($A344,COMPRADORES!$A:$D,2,FALSE)&amp;" ",FIND(" ",VLOOKUP($A344,COMPRADORES!$A:$D,2,FALSE)&amp;" ")+1,99)),1)&amp;".")),""))</f>
        <v/>
      </c>
      <c r="F344" s="16">
        <f>IF($B344="PAGADO",MID("ABCDEFGHIJ",INT(VALUE($A344)/100)+1,1)&amp;"-"&amp;$A344,"")</f>
        <v/>
      </c>
      <c r="G344" s="16">
        <f>IF($B344="PAGADO","PAGADO",IF($B344="APARTADO",IF(NOT(ISNUMBER($C344)),"APARTADO",IF($C344&lt;1,"APARTADO",IF(NOW()-$C344&gt;1,"LIBRE","APARTADO"))),"LIBRE"))</f>
        <v/>
      </c>
      <c r="H344" s="15">
        <f>IF($G344&lt;&gt;"APARTADO","",IF(NOT(ISNUMBER($C344)),"FALTA LA HORA",IF($C344&lt;1,"FALTA LA FECHA",TEXT($C344+1,"dd/mm hh:mm"))))</f>
        <v/>
      </c>
    </row>
    <row r="345">
      <c r="A345" s="13" t="inlineStr">
        <is>
          <t>343</t>
        </is>
      </c>
      <c r="B345" t="inlineStr">
        <is>
          <t>LIBRE</t>
        </is>
      </c>
      <c r="C345" s="14" t="n"/>
      <c r="E345" s="15">
        <f>IF($G345&lt;&gt;"PAGADO","",IFERROR(IF(VLOOKUP($A345,COMPRADORES!$A:$D,4,FALSE)="NO","Reservado",LEFT(VLOOKUP($A345,COMPRADORES!$A:$D,2,FALSE),3)&amp;"***"&amp;IF(TRIM(MID(VLOOKUP($A345,COMPRADORES!$A:$D,2,FALSE)&amp;" ",FIND(" ",VLOOKUP($A345,COMPRADORES!$A:$D,2,FALSE)&amp;" ")+1,99))="",""," "&amp;LEFT(TRIM(MID(VLOOKUP($A345,COMPRADORES!$A:$D,2,FALSE)&amp;" ",FIND(" ",VLOOKUP($A345,COMPRADORES!$A:$D,2,FALSE)&amp;" ")+1,99)),1)&amp;".")),""))</f>
        <v/>
      </c>
      <c r="F345" s="16">
        <f>IF($B345="PAGADO",MID("ABCDEFGHIJ",INT(VALUE($A345)/100)+1,1)&amp;"-"&amp;$A345,"")</f>
        <v/>
      </c>
      <c r="G345" s="16">
        <f>IF($B345="PAGADO","PAGADO",IF($B345="APARTADO",IF(NOT(ISNUMBER($C345)),"APARTADO",IF($C345&lt;1,"APARTADO",IF(NOW()-$C345&gt;1,"LIBRE","APARTADO"))),"LIBRE"))</f>
        <v/>
      </c>
      <c r="H345" s="15">
        <f>IF($G345&lt;&gt;"APARTADO","",IF(NOT(ISNUMBER($C345)),"FALTA LA HORA",IF($C345&lt;1,"FALTA LA FECHA",TEXT($C345+1,"dd/mm hh:mm"))))</f>
        <v/>
      </c>
    </row>
    <row r="346">
      <c r="A346" s="13" t="inlineStr">
        <is>
          <t>344</t>
        </is>
      </c>
      <c r="B346" t="inlineStr">
        <is>
          <t>LIBRE</t>
        </is>
      </c>
      <c r="C346" s="14" t="n"/>
      <c r="E346" s="15">
        <f>IF($G346&lt;&gt;"PAGADO","",IFERROR(IF(VLOOKUP($A346,COMPRADORES!$A:$D,4,FALSE)="NO","Reservado",LEFT(VLOOKUP($A346,COMPRADORES!$A:$D,2,FALSE),3)&amp;"***"&amp;IF(TRIM(MID(VLOOKUP($A346,COMPRADORES!$A:$D,2,FALSE)&amp;" ",FIND(" ",VLOOKUP($A346,COMPRADORES!$A:$D,2,FALSE)&amp;" ")+1,99))="",""," "&amp;LEFT(TRIM(MID(VLOOKUP($A346,COMPRADORES!$A:$D,2,FALSE)&amp;" ",FIND(" ",VLOOKUP($A346,COMPRADORES!$A:$D,2,FALSE)&amp;" ")+1,99)),1)&amp;".")),""))</f>
        <v/>
      </c>
      <c r="F346" s="16">
        <f>IF($B346="PAGADO",MID("ABCDEFGHIJ",INT(VALUE($A346)/100)+1,1)&amp;"-"&amp;$A346,"")</f>
        <v/>
      </c>
      <c r="G346" s="16">
        <f>IF($B346="PAGADO","PAGADO",IF($B346="APARTADO",IF(NOT(ISNUMBER($C346)),"APARTADO",IF($C346&lt;1,"APARTADO",IF(NOW()-$C346&gt;1,"LIBRE","APARTADO"))),"LIBRE"))</f>
        <v/>
      </c>
      <c r="H346" s="15">
        <f>IF($G346&lt;&gt;"APARTADO","",IF(NOT(ISNUMBER($C346)),"FALTA LA HORA",IF($C346&lt;1,"FALTA LA FECHA",TEXT($C346+1,"dd/mm hh:mm"))))</f>
        <v/>
      </c>
    </row>
    <row r="347">
      <c r="A347" s="13" t="inlineStr">
        <is>
          <t>345</t>
        </is>
      </c>
      <c r="B347" t="inlineStr">
        <is>
          <t>LIBRE</t>
        </is>
      </c>
      <c r="C347" s="14" t="n"/>
      <c r="E347" s="15">
        <f>IF($G347&lt;&gt;"PAGADO","",IFERROR(IF(VLOOKUP($A347,COMPRADORES!$A:$D,4,FALSE)="NO","Reservado",LEFT(VLOOKUP($A347,COMPRADORES!$A:$D,2,FALSE),3)&amp;"***"&amp;IF(TRIM(MID(VLOOKUP($A347,COMPRADORES!$A:$D,2,FALSE)&amp;" ",FIND(" ",VLOOKUP($A347,COMPRADORES!$A:$D,2,FALSE)&amp;" ")+1,99))="",""," "&amp;LEFT(TRIM(MID(VLOOKUP($A347,COMPRADORES!$A:$D,2,FALSE)&amp;" ",FIND(" ",VLOOKUP($A347,COMPRADORES!$A:$D,2,FALSE)&amp;" ")+1,99)),1)&amp;".")),""))</f>
        <v/>
      </c>
      <c r="F347" s="16">
        <f>IF($B347="PAGADO",MID("ABCDEFGHIJ",INT(VALUE($A347)/100)+1,1)&amp;"-"&amp;$A347,"")</f>
        <v/>
      </c>
      <c r="G347" s="16">
        <f>IF($B347="PAGADO","PAGADO",IF($B347="APARTADO",IF(NOT(ISNUMBER($C347)),"APARTADO",IF($C347&lt;1,"APARTADO",IF(NOW()-$C347&gt;1,"LIBRE","APARTADO"))),"LIBRE"))</f>
        <v/>
      </c>
      <c r="H347" s="15">
        <f>IF($G347&lt;&gt;"APARTADO","",IF(NOT(ISNUMBER($C347)),"FALTA LA HORA",IF($C347&lt;1,"FALTA LA FECHA",TEXT($C347+1,"dd/mm hh:mm"))))</f>
        <v/>
      </c>
    </row>
    <row r="348">
      <c r="A348" s="13" t="inlineStr">
        <is>
          <t>346</t>
        </is>
      </c>
      <c r="B348" t="inlineStr">
        <is>
          <t>LIBRE</t>
        </is>
      </c>
      <c r="C348" s="14" t="n"/>
      <c r="E348" s="15">
        <f>IF($G348&lt;&gt;"PAGADO","",IFERROR(IF(VLOOKUP($A348,COMPRADORES!$A:$D,4,FALSE)="NO","Reservado",LEFT(VLOOKUP($A348,COMPRADORES!$A:$D,2,FALSE),3)&amp;"***"&amp;IF(TRIM(MID(VLOOKUP($A348,COMPRADORES!$A:$D,2,FALSE)&amp;" ",FIND(" ",VLOOKUP($A348,COMPRADORES!$A:$D,2,FALSE)&amp;" ")+1,99))="",""," "&amp;LEFT(TRIM(MID(VLOOKUP($A348,COMPRADORES!$A:$D,2,FALSE)&amp;" ",FIND(" ",VLOOKUP($A348,COMPRADORES!$A:$D,2,FALSE)&amp;" ")+1,99)),1)&amp;".")),""))</f>
        <v/>
      </c>
      <c r="F348" s="16">
        <f>IF($B348="PAGADO",MID("ABCDEFGHIJ",INT(VALUE($A348)/100)+1,1)&amp;"-"&amp;$A348,"")</f>
        <v/>
      </c>
      <c r="G348" s="16">
        <f>IF($B348="PAGADO","PAGADO",IF($B348="APARTADO",IF(NOT(ISNUMBER($C348)),"APARTADO",IF($C348&lt;1,"APARTADO",IF(NOW()-$C348&gt;1,"LIBRE","APARTADO"))),"LIBRE"))</f>
        <v/>
      </c>
      <c r="H348" s="15">
        <f>IF($G348&lt;&gt;"APARTADO","",IF(NOT(ISNUMBER($C348)),"FALTA LA HORA",IF($C348&lt;1,"FALTA LA FECHA",TEXT($C348+1,"dd/mm hh:mm"))))</f>
        <v/>
      </c>
    </row>
    <row r="349">
      <c r="A349" s="13" t="inlineStr">
        <is>
          <t>347</t>
        </is>
      </c>
      <c r="B349" t="inlineStr">
        <is>
          <t>LIBRE</t>
        </is>
      </c>
      <c r="C349" s="14" t="n"/>
      <c r="E349" s="15">
        <f>IF($G349&lt;&gt;"PAGADO","",IFERROR(IF(VLOOKUP($A349,COMPRADORES!$A:$D,4,FALSE)="NO","Reservado",LEFT(VLOOKUP($A349,COMPRADORES!$A:$D,2,FALSE),3)&amp;"***"&amp;IF(TRIM(MID(VLOOKUP($A349,COMPRADORES!$A:$D,2,FALSE)&amp;" ",FIND(" ",VLOOKUP($A349,COMPRADORES!$A:$D,2,FALSE)&amp;" ")+1,99))="",""," "&amp;LEFT(TRIM(MID(VLOOKUP($A349,COMPRADORES!$A:$D,2,FALSE)&amp;" ",FIND(" ",VLOOKUP($A349,COMPRADORES!$A:$D,2,FALSE)&amp;" ")+1,99)),1)&amp;".")),""))</f>
        <v/>
      </c>
      <c r="F349" s="16">
        <f>IF($B349="PAGADO",MID("ABCDEFGHIJ",INT(VALUE($A349)/100)+1,1)&amp;"-"&amp;$A349,"")</f>
        <v/>
      </c>
      <c r="G349" s="16">
        <f>IF($B349="PAGADO","PAGADO",IF($B349="APARTADO",IF(NOT(ISNUMBER($C349)),"APARTADO",IF($C349&lt;1,"APARTADO",IF(NOW()-$C349&gt;1,"LIBRE","APARTADO"))),"LIBRE"))</f>
        <v/>
      </c>
      <c r="H349" s="15">
        <f>IF($G349&lt;&gt;"APARTADO","",IF(NOT(ISNUMBER($C349)),"FALTA LA HORA",IF($C349&lt;1,"FALTA LA FECHA",TEXT($C349+1,"dd/mm hh:mm"))))</f>
        <v/>
      </c>
    </row>
    <row r="350">
      <c r="A350" s="13" t="inlineStr">
        <is>
          <t>348</t>
        </is>
      </c>
      <c r="B350" t="inlineStr">
        <is>
          <t>LIBRE</t>
        </is>
      </c>
      <c r="C350" s="14" t="n"/>
      <c r="E350" s="15">
        <f>IF($G350&lt;&gt;"PAGADO","",IFERROR(IF(VLOOKUP($A350,COMPRADORES!$A:$D,4,FALSE)="NO","Reservado",LEFT(VLOOKUP($A350,COMPRADORES!$A:$D,2,FALSE),3)&amp;"***"&amp;IF(TRIM(MID(VLOOKUP($A350,COMPRADORES!$A:$D,2,FALSE)&amp;" ",FIND(" ",VLOOKUP($A350,COMPRADORES!$A:$D,2,FALSE)&amp;" ")+1,99))="",""," "&amp;LEFT(TRIM(MID(VLOOKUP($A350,COMPRADORES!$A:$D,2,FALSE)&amp;" ",FIND(" ",VLOOKUP($A350,COMPRADORES!$A:$D,2,FALSE)&amp;" ")+1,99)),1)&amp;".")),""))</f>
        <v/>
      </c>
      <c r="F350" s="16">
        <f>IF($B350="PAGADO",MID("ABCDEFGHIJ",INT(VALUE($A350)/100)+1,1)&amp;"-"&amp;$A350,"")</f>
        <v/>
      </c>
      <c r="G350" s="16">
        <f>IF($B350="PAGADO","PAGADO",IF($B350="APARTADO",IF(NOT(ISNUMBER($C350)),"APARTADO",IF($C350&lt;1,"APARTADO",IF(NOW()-$C350&gt;1,"LIBRE","APARTADO"))),"LIBRE"))</f>
        <v/>
      </c>
      <c r="H350" s="15">
        <f>IF($G350&lt;&gt;"APARTADO","",IF(NOT(ISNUMBER($C350)),"FALTA LA HORA",IF($C350&lt;1,"FALTA LA FECHA",TEXT($C350+1,"dd/mm hh:mm"))))</f>
        <v/>
      </c>
    </row>
    <row r="351">
      <c r="A351" s="13" t="inlineStr">
        <is>
          <t>349</t>
        </is>
      </c>
      <c r="B351" t="inlineStr">
        <is>
          <t>LIBRE</t>
        </is>
      </c>
      <c r="C351" s="14" t="n"/>
      <c r="E351" s="15">
        <f>IF($G351&lt;&gt;"PAGADO","",IFERROR(IF(VLOOKUP($A351,COMPRADORES!$A:$D,4,FALSE)="NO","Reservado",LEFT(VLOOKUP($A351,COMPRADORES!$A:$D,2,FALSE),3)&amp;"***"&amp;IF(TRIM(MID(VLOOKUP($A351,COMPRADORES!$A:$D,2,FALSE)&amp;" ",FIND(" ",VLOOKUP($A351,COMPRADORES!$A:$D,2,FALSE)&amp;" ")+1,99))="",""," "&amp;LEFT(TRIM(MID(VLOOKUP($A351,COMPRADORES!$A:$D,2,FALSE)&amp;" ",FIND(" ",VLOOKUP($A351,COMPRADORES!$A:$D,2,FALSE)&amp;" ")+1,99)),1)&amp;".")),""))</f>
        <v/>
      </c>
      <c r="F351" s="16">
        <f>IF($B351="PAGADO",MID("ABCDEFGHIJ",INT(VALUE($A351)/100)+1,1)&amp;"-"&amp;$A351,"")</f>
        <v/>
      </c>
      <c r="G351" s="16">
        <f>IF($B351="PAGADO","PAGADO",IF($B351="APARTADO",IF(NOT(ISNUMBER($C351)),"APARTADO",IF($C351&lt;1,"APARTADO",IF(NOW()-$C351&gt;1,"LIBRE","APARTADO"))),"LIBRE"))</f>
        <v/>
      </c>
      <c r="H351" s="15">
        <f>IF($G351&lt;&gt;"APARTADO","",IF(NOT(ISNUMBER($C351)),"FALTA LA HORA",IF($C351&lt;1,"FALTA LA FECHA",TEXT($C351+1,"dd/mm hh:mm"))))</f>
        <v/>
      </c>
    </row>
    <row r="352">
      <c r="A352" s="13" t="inlineStr">
        <is>
          <t>350</t>
        </is>
      </c>
      <c r="B352" t="inlineStr">
        <is>
          <t>LIBRE</t>
        </is>
      </c>
      <c r="C352" s="14" t="n"/>
      <c r="E352" s="15">
        <f>IF($G352&lt;&gt;"PAGADO","",IFERROR(IF(VLOOKUP($A352,COMPRADORES!$A:$D,4,FALSE)="NO","Reservado",LEFT(VLOOKUP($A352,COMPRADORES!$A:$D,2,FALSE),3)&amp;"***"&amp;IF(TRIM(MID(VLOOKUP($A352,COMPRADORES!$A:$D,2,FALSE)&amp;" ",FIND(" ",VLOOKUP($A352,COMPRADORES!$A:$D,2,FALSE)&amp;" ")+1,99))="",""," "&amp;LEFT(TRIM(MID(VLOOKUP($A352,COMPRADORES!$A:$D,2,FALSE)&amp;" ",FIND(" ",VLOOKUP($A352,COMPRADORES!$A:$D,2,FALSE)&amp;" ")+1,99)),1)&amp;".")),""))</f>
        <v/>
      </c>
      <c r="F352" s="16">
        <f>IF($B352="PAGADO",MID("ABCDEFGHIJ",INT(VALUE($A352)/100)+1,1)&amp;"-"&amp;$A352,"")</f>
        <v/>
      </c>
      <c r="G352" s="16">
        <f>IF($B352="PAGADO","PAGADO",IF($B352="APARTADO",IF(NOT(ISNUMBER($C352)),"APARTADO",IF($C352&lt;1,"APARTADO",IF(NOW()-$C352&gt;1,"LIBRE","APARTADO"))),"LIBRE"))</f>
        <v/>
      </c>
      <c r="H352" s="15">
        <f>IF($G352&lt;&gt;"APARTADO","",IF(NOT(ISNUMBER($C352)),"FALTA LA HORA",IF($C352&lt;1,"FALTA LA FECHA",TEXT($C352+1,"dd/mm hh:mm"))))</f>
        <v/>
      </c>
    </row>
    <row r="353">
      <c r="A353" s="13" t="inlineStr">
        <is>
          <t>351</t>
        </is>
      </c>
      <c r="B353" t="inlineStr">
        <is>
          <t>LIBRE</t>
        </is>
      </c>
      <c r="C353" s="14" t="n"/>
      <c r="E353" s="15">
        <f>IF($G353&lt;&gt;"PAGADO","",IFERROR(IF(VLOOKUP($A353,COMPRADORES!$A:$D,4,FALSE)="NO","Reservado",LEFT(VLOOKUP($A353,COMPRADORES!$A:$D,2,FALSE),3)&amp;"***"&amp;IF(TRIM(MID(VLOOKUP($A353,COMPRADORES!$A:$D,2,FALSE)&amp;" ",FIND(" ",VLOOKUP($A353,COMPRADORES!$A:$D,2,FALSE)&amp;" ")+1,99))="",""," "&amp;LEFT(TRIM(MID(VLOOKUP($A353,COMPRADORES!$A:$D,2,FALSE)&amp;" ",FIND(" ",VLOOKUP($A353,COMPRADORES!$A:$D,2,FALSE)&amp;" ")+1,99)),1)&amp;".")),""))</f>
        <v/>
      </c>
      <c r="F353" s="16">
        <f>IF($B353="PAGADO",MID("ABCDEFGHIJ",INT(VALUE($A353)/100)+1,1)&amp;"-"&amp;$A353,"")</f>
        <v/>
      </c>
      <c r="G353" s="16">
        <f>IF($B353="PAGADO","PAGADO",IF($B353="APARTADO",IF(NOT(ISNUMBER($C353)),"APARTADO",IF($C353&lt;1,"APARTADO",IF(NOW()-$C353&gt;1,"LIBRE","APARTADO"))),"LIBRE"))</f>
        <v/>
      </c>
      <c r="H353" s="15">
        <f>IF($G353&lt;&gt;"APARTADO","",IF(NOT(ISNUMBER($C353)),"FALTA LA HORA",IF($C353&lt;1,"FALTA LA FECHA",TEXT($C353+1,"dd/mm hh:mm"))))</f>
        <v/>
      </c>
    </row>
    <row r="354">
      <c r="A354" s="13" t="inlineStr">
        <is>
          <t>352</t>
        </is>
      </c>
      <c r="B354" t="inlineStr">
        <is>
          <t>LIBRE</t>
        </is>
      </c>
      <c r="C354" s="14" t="n"/>
      <c r="E354" s="15">
        <f>IF($G354&lt;&gt;"PAGADO","",IFERROR(IF(VLOOKUP($A354,COMPRADORES!$A:$D,4,FALSE)="NO","Reservado",LEFT(VLOOKUP($A354,COMPRADORES!$A:$D,2,FALSE),3)&amp;"***"&amp;IF(TRIM(MID(VLOOKUP($A354,COMPRADORES!$A:$D,2,FALSE)&amp;" ",FIND(" ",VLOOKUP($A354,COMPRADORES!$A:$D,2,FALSE)&amp;" ")+1,99))="",""," "&amp;LEFT(TRIM(MID(VLOOKUP($A354,COMPRADORES!$A:$D,2,FALSE)&amp;" ",FIND(" ",VLOOKUP($A354,COMPRADORES!$A:$D,2,FALSE)&amp;" ")+1,99)),1)&amp;".")),""))</f>
        <v/>
      </c>
      <c r="F354" s="16">
        <f>IF($B354="PAGADO",MID("ABCDEFGHIJ",INT(VALUE($A354)/100)+1,1)&amp;"-"&amp;$A354,"")</f>
        <v/>
      </c>
      <c r="G354" s="16">
        <f>IF($B354="PAGADO","PAGADO",IF($B354="APARTADO",IF(NOT(ISNUMBER($C354)),"APARTADO",IF($C354&lt;1,"APARTADO",IF(NOW()-$C354&gt;1,"LIBRE","APARTADO"))),"LIBRE"))</f>
        <v/>
      </c>
      <c r="H354" s="15">
        <f>IF($G354&lt;&gt;"APARTADO","",IF(NOT(ISNUMBER($C354)),"FALTA LA HORA",IF($C354&lt;1,"FALTA LA FECHA",TEXT($C354+1,"dd/mm hh:mm"))))</f>
        <v/>
      </c>
    </row>
    <row r="355">
      <c r="A355" s="13" t="inlineStr">
        <is>
          <t>353</t>
        </is>
      </c>
      <c r="B355" t="inlineStr">
        <is>
          <t>LIBRE</t>
        </is>
      </c>
      <c r="C355" s="14" t="n"/>
      <c r="E355" s="15">
        <f>IF($G355&lt;&gt;"PAGADO","",IFERROR(IF(VLOOKUP($A355,COMPRADORES!$A:$D,4,FALSE)="NO","Reservado",LEFT(VLOOKUP($A355,COMPRADORES!$A:$D,2,FALSE),3)&amp;"***"&amp;IF(TRIM(MID(VLOOKUP($A355,COMPRADORES!$A:$D,2,FALSE)&amp;" ",FIND(" ",VLOOKUP($A355,COMPRADORES!$A:$D,2,FALSE)&amp;" ")+1,99))="",""," "&amp;LEFT(TRIM(MID(VLOOKUP($A355,COMPRADORES!$A:$D,2,FALSE)&amp;" ",FIND(" ",VLOOKUP($A355,COMPRADORES!$A:$D,2,FALSE)&amp;" ")+1,99)),1)&amp;".")),""))</f>
        <v/>
      </c>
      <c r="F355" s="16">
        <f>IF($B355="PAGADO",MID("ABCDEFGHIJ",INT(VALUE($A355)/100)+1,1)&amp;"-"&amp;$A355,"")</f>
        <v/>
      </c>
      <c r="G355" s="16">
        <f>IF($B355="PAGADO","PAGADO",IF($B355="APARTADO",IF(NOT(ISNUMBER($C355)),"APARTADO",IF($C355&lt;1,"APARTADO",IF(NOW()-$C355&gt;1,"LIBRE","APARTADO"))),"LIBRE"))</f>
        <v/>
      </c>
      <c r="H355" s="15">
        <f>IF($G355&lt;&gt;"APARTADO","",IF(NOT(ISNUMBER($C355)),"FALTA LA HORA",IF($C355&lt;1,"FALTA LA FECHA",TEXT($C355+1,"dd/mm hh:mm"))))</f>
        <v/>
      </c>
    </row>
    <row r="356">
      <c r="A356" s="13" t="inlineStr">
        <is>
          <t>354</t>
        </is>
      </c>
      <c r="B356" t="inlineStr">
        <is>
          <t>LIBRE</t>
        </is>
      </c>
      <c r="C356" s="14" t="n"/>
      <c r="E356" s="15">
        <f>IF($G356&lt;&gt;"PAGADO","",IFERROR(IF(VLOOKUP($A356,COMPRADORES!$A:$D,4,FALSE)="NO","Reservado",LEFT(VLOOKUP($A356,COMPRADORES!$A:$D,2,FALSE),3)&amp;"***"&amp;IF(TRIM(MID(VLOOKUP($A356,COMPRADORES!$A:$D,2,FALSE)&amp;" ",FIND(" ",VLOOKUP($A356,COMPRADORES!$A:$D,2,FALSE)&amp;" ")+1,99))="",""," "&amp;LEFT(TRIM(MID(VLOOKUP($A356,COMPRADORES!$A:$D,2,FALSE)&amp;" ",FIND(" ",VLOOKUP($A356,COMPRADORES!$A:$D,2,FALSE)&amp;" ")+1,99)),1)&amp;".")),""))</f>
        <v/>
      </c>
      <c r="F356" s="16">
        <f>IF($B356="PAGADO",MID("ABCDEFGHIJ",INT(VALUE($A356)/100)+1,1)&amp;"-"&amp;$A356,"")</f>
        <v/>
      </c>
      <c r="G356" s="16">
        <f>IF($B356="PAGADO","PAGADO",IF($B356="APARTADO",IF(NOT(ISNUMBER($C356)),"APARTADO",IF($C356&lt;1,"APARTADO",IF(NOW()-$C356&gt;1,"LIBRE","APARTADO"))),"LIBRE"))</f>
        <v/>
      </c>
      <c r="H356" s="15">
        <f>IF($G356&lt;&gt;"APARTADO","",IF(NOT(ISNUMBER($C356)),"FALTA LA HORA",IF($C356&lt;1,"FALTA LA FECHA",TEXT($C356+1,"dd/mm hh:mm"))))</f>
        <v/>
      </c>
    </row>
    <row r="357">
      <c r="A357" s="13" t="inlineStr">
        <is>
          <t>355</t>
        </is>
      </c>
      <c r="B357" t="inlineStr">
        <is>
          <t>LIBRE</t>
        </is>
      </c>
      <c r="C357" s="14" t="n"/>
      <c r="E357" s="15">
        <f>IF($G357&lt;&gt;"PAGADO","",IFERROR(IF(VLOOKUP($A357,COMPRADORES!$A:$D,4,FALSE)="NO","Reservado",LEFT(VLOOKUP($A357,COMPRADORES!$A:$D,2,FALSE),3)&amp;"***"&amp;IF(TRIM(MID(VLOOKUP($A357,COMPRADORES!$A:$D,2,FALSE)&amp;" ",FIND(" ",VLOOKUP($A357,COMPRADORES!$A:$D,2,FALSE)&amp;" ")+1,99))="",""," "&amp;LEFT(TRIM(MID(VLOOKUP($A357,COMPRADORES!$A:$D,2,FALSE)&amp;" ",FIND(" ",VLOOKUP($A357,COMPRADORES!$A:$D,2,FALSE)&amp;" ")+1,99)),1)&amp;".")),""))</f>
        <v/>
      </c>
      <c r="F357" s="16">
        <f>IF($B357="PAGADO",MID("ABCDEFGHIJ",INT(VALUE($A357)/100)+1,1)&amp;"-"&amp;$A357,"")</f>
        <v/>
      </c>
      <c r="G357" s="16">
        <f>IF($B357="PAGADO","PAGADO",IF($B357="APARTADO",IF(NOT(ISNUMBER($C357)),"APARTADO",IF($C357&lt;1,"APARTADO",IF(NOW()-$C357&gt;1,"LIBRE","APARTADO"))),"LIBRE"))</f>
        <v/>
      </c>
      <c r="H357" s="15">
        <f>IF($G357&lt;&gt;"APARTADO","",IF(NOT(ISNUMBER($C357)),"FALTA LA HORA",IF($C357&lt;1,"FALTA LA FECHA",TEXT($C357+1,"dd/mm hh:mm"))))</f>
        <v/>
      </c>
    </row>
    <row r="358">
      <c r="A358" s="13" t="inlineStr">
        <is>
          <t>356</t>
        </is>
      </c>
      <c r="B358" t="inlineStr">
        <is>
          <t>LIBRE</t>
        </is>
      </c>
      <c r="C358" s="14" t="n"/>
      <c r="E358" s="15">
        <f>IF($G358&lt;&gt;"PAGADO","",IFERROR(IF(VLOOKUP($A358,COMPRADORES!$A:$D,4,FALSE)="NO","Reservado",LEFT(VLOOKUP($A358,COMPRADORES!$A:$D,2,FALSE),3)&amp;"***"&amp;IF(TRIM(MID(VLOOKUP($A358,COMPRADORES!$A:$D,2,FALSE)&amp;" ",FIND(" ",VLOOKUP($A358,COMPRADORES!$A:$D,2,FALSE)&amp;" ")+1,99))="",""," "&amp;LEFT(TRIM(MID(VLOOKUP($A358,COMPRADORES!$A:$D,2,FALSE)&amp;" ",FIND(" ",VLOOKUP($A358,COMPRADORES!$A:$D,2,FALSE)&amp;" ")+1,99)),1)&amp;".")),""))</f>
        <v/>
      </c>
      <c r="F358" s="16">
        <f>IF($B358="PAGADO",MID("ABCDEFGHIJ",INT(VALUE($A358)/100)+1,1)&amp;"-"&amp;$A358,"")</f>
        <v/>
      </c>
      <c r="G358" s="16">
        <f>IF($B358="PAGADO","PAGADO",IF($B358="APARTADO",IF(NOT(ISNUMBER($C358)),"APARTADO",IF($C358&lt;1,"APARTADO",IF(NOW()-$C358&gt;1,"LIBRE","APARTADO"))),"LIBRE"))</f>
        <v/>
      </c>
      <c r="H358" s="15">
        <f>IF($G358&lt;&gt;"APARTADO","",IF(NOT(ISNUMBER($C358)),"FALTA LA HORA",IF($C358&lt;1,"FALTA LA FECHA",TEXT($C358+1,"dd/mm hh:mm"))))</f>
        <v/>
      </c>
    </row>
    <row r="359">
      <c r="A359" s="13" t="inlineStr">
        <is>
          <t>357</t>
        </is>
      </c>
      <c r="B359" t="inlineStr">
        <is>
          <t>LIBRE</t>
        </is>
      </c>
      <c r="C359" s="14" t="n"/>
      <c r="E359" s="15">
        <f>IF($G359&lt;&gt;"PAGADO","",IFERROR(IF(VLOOKUP($A359,COMPRADORES!$A:$D,4,FALSE)="NO","Reservado",LEFT(VLOOKUP($A359,COMPRADORES!$A:$D,2,FALSE),3)&amp;"***"&amp;IF(TRIM(MID(VLOOKUP($A359,COMPRADORES!$A:$D,2,FALSE)&amp;" ",FIND(" ",VLOOKUP($A359,COMPRADORES!$A:$D,2,FALSE)&amp;" ")+1,99))="",""," "&amp;LEFT(TRIM(MID(VLOOKUP($A359,COMPRADORES!$A:$D,2,FALSE)&amp;" ",FIND(" ",VLOOKUP($A359,COMPRADORES!$A:$D,2,FALSE)&amp;" ")+1,99)),1)&amp;".")),""))</f>
        <v/>
      </c>
      <c r="F359" s="16">
        <f>IF($B359="PAGADO",MID("ABCDEFGHIJ",INT(VALUE($A359)/100)+1,1)&amp;"-"&amp;$A359,"")</f>
        <v/>
      </c>
      <c r="G359" s="16">
        <f>IF($B359="PAGADO","PAGADO",IF($B359="APARTADO",IF(NOT(ISNUMBER($C359)),"APARTADO",IF($C359&lt;1,"APARTADO",IF(NOW()-$C359&gt;1,"LIBRE","APARTADO"))),"LIBRE"))</f>
        <v/>
      </c>
      <c r="H359" s="15">
        <f>IF($G359&lt;&gt;"APARTADO","",IF(NOT(ISNUMBER($C359)),"FALTA LA HORA",IF($C359&lt;1,"FALTA LA FECHA",TEXT($C359+1,"dd/mm hh:mm"))))</f>
        <v/>
      </c>
    </row>
    <row r="360">
      <c r="A360" s="13" t="inlineStr">
        <is>
          <t>358</t>
        </is>
      </c>
      <c r="B360" t="inlineStr">
        <is>
          <t>LIBRE</t>
        </is>
      </c>
      <c r="C360" s="14" t="n"/>
      <c r="E360" s="15">
        <f>IF($G360&lt;&gt;"PAGADO","",IFERROR(IF(VLOOKUP($A360,COMPRADORES!$A:$D,4,FALSE)="NO","Reservado",LEFT(VLOOKUP($A360,COMPRADORES!$A:$D,2,FALSE),3)&amp;"***"&amp;IF(TRIM(MID(VLOOKUP($A360,COMPRADORES!$A:$D,2,FALSE)&amp;" ",FIND(" ",VLOOKUP($A360,COMPRADORES!$A:$D,2,FALSE)&amp;" ")+1,99))="",""," "&amp;LEFT(TRIM(MID(VLOOKUP($A360,COMPRADORES!$A:$D,2,FALSE)&amp;" ",FIND(" ",VLOOKUP($A360,COMPRADORES!$A:$D,2,FALSE)&amp;" ")+1,99)),1)&amp;".")),""))</f>
        <v/>
      </c>
      <c r="F360" s="16">
        <f>IF($B360="PAGADO",MID("ABCDEFGHIJ",INT(VALUE($A360)/100)+1,1)&amp;"-"&amp;$A360,"")</f>
        <v/>
      </c>
      <c r="G360" s="16">
        <f>IF($B360="PAGADO","PAGADO",IF($B360="APARTADO",IF(NOT(ISNUMBER($C360)),"APARTADO",IF($C360&lt;1,"APARTADO",IF(NOW()-$C360&gt;1,"LIBRE","APARTADO"))),"LIBRE"))</f>
        <v/>
      </c>
      <c r="H360" s="15">
        <f>IF($G360&lt;&gt;"APARTADO","",IF(NOT(ISNUMBER($C360)),"FALTA LA HORA",IF($C360&lt;1,"FALTA LA FECHA",TEXT($C360+1,"dd/mm hh:mm"))))</f>
        <v/>
      </c>
    </row>
    <row r="361">
      <c r="A361" s="13" t="inlineStr">
        <is>
          <t>359</t>
        </is>
      </c>
      <c r="B361" t="inlineStr">
        <is>
          <t>LIBRE</t>
        </is>
      </c>
      <c r="C361" s="14" t="n"/>
      <c r="E361" s="15">
        <f>IF($G361&lt;&gt;"PAGADO","",IFERROR(IF(VLOOKUP($A361,COMPRADORES!$A:$D,4,FALSE)="NO","Reservado",LEFT(VLOOKUP($A361,COMPRADORES!$A:$D,2,FALSE),3)&amp;"***"&amp;IF(TRIM(MID(VLOOKUP($A361,COMPRADORES!$A:$D,2,FALSE)&amp;" ",FIND(" ",VLOOKUP($A361,COMPRADORES!$A:$D,2,FALSE)&amp;" ")+1,99))="",""," "&amp;LEFT(TRIM(MID(VLOOKUP($A361,COMPRADORES!$A:$D,2,FALSE)&amp;" ",FIND(" ",VLOOKUP($A361,COMPRADORES!$A:$D,2,FALSE)&amp;" ")+1,99)),1)&amp;".")),""))</f>
        <v/>
      </c>
      <c r="F361" s="16">
        <f>IF($B361="PAGADO",MID("ABCDEFGHIJ",INT(VALUE($A361)/100)+1,1)&amp;"-"&amp;$A361,"")</f>
        <v/>
      </c>
      <c r="G361" s="16">
        <f>IF($B361="PAGADO","PAGADO",IF($B361="APARTADO",IF(NOT(ISNUMBER($C361)),"APARTADO",IF($C361&lt;1,"APARTADO",IF(NOW()-$C361&gt;1,"LIBRE","APARTADO"))),"LIBRE"))</f>
        <v/>
      </c>
      <c r="H361" s="15">
        <f>IF($G361&lt;&gt;"APARTADO","",IF(NOT(ISNUMBER($C361)),"FALTA LA HORA",IF($C361&lt;1,"FALTA LA FECHA",TEXT($C361+1,"dd/mm hh:mm"))))</f>
        <v/>
      </c>
    </row>
    <row r="362">
      <c r="A362" s="13" t="inlineStr">
        <is>
          <t>360</t>
        </is>
      </c>
      <c r="B362" t="inlineStr">
        <is>
          <t>LIBRE</t>
        </is>
      </c>
      <c r="C362" s="14" t="n"/>
      <c r="E362" s="15">
        <f>IF($G362&lt;&gt;"PAGADO","",IFERROR(IF(VLOOKUP($A362,COMPRADORES!$A:$D,4,FALSE)="NO","Reservado",LEFT(VLOOKUP($A362,COMPRADORES!$A:$D,2,FALSE),3)&amp;"***"&amp;IF(TRIM(MID(VLOOKUP($A362,COMPRADORES!$A:$D,2,FALSE)&amp;" ",FIND(" ",VLOOKUP($A362,COMPRADORES!$A:$D,2,FALSE)&amp;" ")+1,99))="",""," "&amp;LEFT(TRIM(MID(VLOOKUP($A362,COMPRADORES!$A:$D,2,FALSE)&amp;" ",FIND(" ",VLOOKUP($A362,COMPRADORES!$A:$D,2,FALSE)&amp;" ")+1,99)),1)&amp;".")),""))</f>
        <v/>
      </c>
      <c r="F362" s="16">
        <f>IF($B362="PAGADO",MID("ABCDEFGHIJ",INT(VALUE($A362)/100)+1,1)&amp;"-"&amp;$A362,"")</f>
        <v/>
      </c>
      <c r="G362" s="16">
        <f>IF($B362="PAGADO","PAGADO",IF($B362="APARTADO",IF(NOT(ISNUMBER($C362)),"APARTADO",IF($C362&lt;1,"APARTADO",IF(NOW()-$C362&gt;1,"LIBRE","APARTADO"))),"LIBRE"))</f>
        <v/>
      </c>
      <c r="H362" s="15">
        <f>IF($G362&lt;&gt;"APARTADO","",IF(NOT(ISNUMBER($C362)),"FALTA LA HORA",IF($C362&lt;1,"FALTA LA FECHA",TEXT($C362+1,"dd/mm hh:mm"))))</f>
        <v/>
      </c>
    </row>
    <row r="363">
      <c r="A363" s="13" t="inlineStr">
        <is>
          <t>361</t>
        </is>
      </c>
      <c r="B363" t="inlineStr">
        <is>
          <t>LIBRE</t>
        </is>
      </c>
      <c r="C363" s="14" t="n"/>
      <c r="E363" s="15">
        <f>IF($G363&lt;&gt;"PAGADO","",IFERROR(IF(VLOOKUP($A363,COMPRADORES!$A:$D,4,FALSE)="NO","Reservado",LEFT(VLOOKUP($A363,COMPRADORES!$A:$D,2,FALSE),3)&amp;"***"&amp;IF(TRIM(MID(VLOOKUP($A363,COMPRADORES!$A:$D,2,FALSE)&amp;" ",FIND(" ",VLOOKUP($A363,COMPRADORES!$A:$D,2,FALSE)&amp;" ")+1,99))="",""," "&amp;LEFT(TRIM(MID(VLOOKUP($A363,COMPRADORES!$A:$D,2,FALSE)&amp;" ",FIND(" ",VLOOKUP($A363,COMPRADORES!$A:$D,2,FALSE)&amp;" ")+1,99)),1)&amp;".")),""))</f>
        <v/>
      </c>
      <c r="F363" s="16">
        <f>IF($B363="PAGADO",MID("ABCDEFGHIJ",INT(VALUE($A363)/100)+1,1)&amp;"-"&amp;$A363,"")</f>
        <v/>
      </c>
      <c r="G363" s="16">
        <f>IF($B363="PAGADO","PAGADO",IF($B363="APARTADO",IF(NOT(ISNUMBER($C363)),"APARTADO",IF($C363&lt;1,"APARTADO",IF(NOW()-$C363&gt;1,"LIBRE","APARTADO"))),"LIBRE"))</f>
        <v/>
      </c>
      <c r="H363" s="15">
        <f>IF($G363&lt;&gt;"APARTADO","",IF(NOT(ISNUMBER($C363)),"FALTA LA HORA",IF($C363&lt;1,"FALTA LA FECHA",TEXT($C363+1,"dd/mm hh:mm"))))</f>
        <v/>
      </c>
    </row>
    <row r="364">
      <c r="A364" s="13" t="inlineStr">
        <is>
          <t>362</t>
        </is>
      </c>
      <c r="B364" t="inlineStr">
        <is>
          <t>LIBRE</t>
        </is>
      </c>
      <c r="C364" s="14" t="n"/>
      <c r="E364" s="15">
        <f>IF($G364&lt;&gt;"PAGADO","",IFERROR(IF(VLOOKUP($A364,COMPRADORES!$A:$D,4,FALSE)="NO","Reservado",LEFT(VLOOKUP($A364,COMPRADORES!$A:$D,2,FALSE),3)&amp;"***"&amp;IF(TRIM(MID(VLOOKUP($A364,COMPRADORES!$A:$D,2,FALSE)&amp;" ",FIND(" ",VLOOKUP($A364,COMPRADORES!$A:$D,2,FALSE)&amp;" ")+1,99))="",""," "&amp;LEFT(TRIM(MID(VLOOKUP($A364,COMPRADORES!$A:$D,2,FALSE)&amp;" ",FIND(" ",VLOOKUP($A364,COMPRADORES!$A:$D,2,FALSE)&amp;" ")+1,99)),1)&amp;".")),""))</f>
        <v/>
      </c>
      <c r="F364" s="16">
        <f>IF($B364="PAGADO",MID("ABCDEFGHIJ",INT(VALUE($A364)/100)+1,1)&amp;"-"&amp;$A364,"")</f>
        <v/>
      </c>
      <c r="G364" s="16">
        <f>IF($B364="PAGADO","PAGADO",IF($B364="APARTADO",IF(NOT(ISNUMBER($C364)),"APARTADO",IF($C364&lt;1,"APARTADO",IF(NOW()-$C364&gt;1,"LIBRE","APARTADO"))),"LIBRE"))</f>
        <v/>
      </c>
      <c r="H364" s="15">
        <f>IF($G364&lt;&gt;"APARTADO","",IF(NOT(ISNUMBER($C364)),"FALTA LA HORA",IF($C364&lt;1,"FALTA LA FECHA",TEXT($C364+1,"dd/mm hh:mm"))))</f>
        <v/>
      </c>
    </row>
    <row r="365">
      <c r="A365" s="13" t="inlineStr">
        <is>
          <t>363</t>
        </is>
      </c>
      <c r="B365" t="inlineStr">
        <is>
          <t>LIBRE</t>
        </is>
      </c>
      <c r="C365" s="14" t="n"/>
      <c r="E365" s="15">
        <f>IF($G365&lt;&gt;"PAGADO","",IFERROR(IF(VLOOKUP($A365,COMPRADORES!$A:$D,4,FALSE)="NO","Reservado",LEFT(VLOOKUP($A365,COMPRADORES!$A:$D,2,FALSE),3)&amp;"***"&amp;IF(TRIM(MID(VLOOKUP($A365,COMPRADORES!$A:$D,2,FALSE)&amp;" ",FIND(" ",VLOOKUP($A365,COMPRADORES!$A:$D,2,FALSE)&amp;" ")+1,99))="",""," "&amp;LEFT(TRIM(MID(VLOOKUP($A365,COMPRADORES!$A:$D,2,FALSE)&amp;" ",FIND(" ",VLOOKUP($A365,COMPRADORES!$A:$D,2,FALSE)&amp;" ")+1,99)),1)&amp;".")),""))</f>
        <v/>
      </c>
      <c r="F365" s="16">
        <f>IF($B365="PAGADO",MID("ABCDEFGHIJ",INT(VALUE($A365)/100)+1,1)&amp;"-"&amp;$A365,"")</f>
        <v/>
      </c>
      <c r="G365" s="16">
        <f>IF($B365="PAGADO","PAGADO",IF($B365="APARTADO",IF(NOT(ISNUMBER($C365)),"APARTADO",IF($C365&lt;1,"APARTADO",IF(NOW()-$C365&gt;1,"LIBRE","APARTADO"))),"LIBRE"))</f>
        <v/>
      </c>
      <c r="H365" s="15">
        <f>IF($G365&lt;&gt;"APARTADO","",IF(NOT(ISNUMBER($C365)),"FALTA LA HORA",IF($C365&lt;1,"FALTA LA FECHA",TEXT($C365+1,"dd/mm hh:mm"))))</f>
        <v/>
      </c>
    </row>
    <row r="366">
      <c r="A366" s="13" t="inlineStr">
        <is>
          <t>364</t>
        </is>
      </c>
      <c r="B366" t="inlineStr">
        <is>
          <t>LIBRE</t>
        </is>
      </c>
      <c r="C366" s="14" t="n"/>
      <c r="E366" s="15">
        <f>IF($G366&lt;&gt;"PAGADO","",IFERROR(IF(VLOOKUP($A366,COMPRADORES!$A:$D,4,FALSE)="NO","Reservado",LEFT(VLOOKUP($A366,COMPRADORES!$A:$D,2,FALSE),3)&amp;"***"&amp;IF(TRIM(MID(VLOOKUP($A366,COMPRADORES!$A:$D,2,FALSE)&amp;" ",FIND(" ",VLOOKUP($A366,COMPRADORES!$A:$D,2,FALSE)&amp;" ")+1,99))="",""," "&amp;LEFT(TRIM(MID(VLOOKUP($A366,COMPRADORES!$A:$D,2,FALSE)&amp;" ",FIND(" ",VLOOKUP($A366,COMPRADORES!$A:$D,2,FALSE)&amp;" ")+1,99)),1)&amp;".")),""))</f>
        <v/>
      </c>
      <c r="F366" s="16">
        <f>IF($B366="PAGADO",MID("ABCDEFGHIJ",INT(VALUE($A366)/100)+1,1)&amp;"-"&amp;$A366,"")</f>
        <v/>
      </c>
      <c r="G366" s="16">
        <f>IF($B366="PAGADO","PAGADO",IF($B366="APARTADO",IF(NOT(ISNUMBER($C366)),"APARTADO",IF($C366&lt;1,"APARTADO",IF(NOW()-$C366&gt;1,"LIBRE","APARTADO"))),"LIBRE"))</f>
        <v/>
      </c>
      <c r="H366" s="15">
        <f>IF($G366&lt;&gt;"APARTADO","",IF(NOT(ISNUMBER($C366)),"FALTA LA HORA",IF($C366&lt;1,"FALTA LA FECHA",TEXT($C366+1,"dd/mm hh:mm"))))</f>
        <v/>
      </c>
    </row>
    <row r="367">
      <c r="A367" s="13" t="inlineStr">
        <is>
          <t>365</t>
        </is>
      </c>
      <c r="B367" t="inlineStr">
        <is>
          <t>LIBRE</t>
        </is>
      </c>
      <c r="C367" s="14" t="n"/>
      <c r="E367" s="15">
        <f>IF($G367&lt;&gt;"PAGADO","",IFERROR(IF(VLOOKUP($A367,COMPRADORES!$A:$D,4,FALSE)="NO","Reservado",LEFT(VLOOKUP($A367,COMPRADORES!$A:$D,2,FALSE),3)&amp;"***"&amp;IF(TRIM(MID(VLOOKUP($A367,COMPRADORES!$A:$D,2,FALSE)&amp;" ",FIND(" ",VLOOKUP($A367,COMPRADORES!$A:$D,2,FALSE)&amp;" ")+1,99))="",""," "&amp;LEFT(TRIM(MID(VLOOKUP($A367,COMPRADORES!$A:$D,2,FALSE)&amp;" ",FIND(" ",VLOOKUP($A367,COMPRADORES!$A:$D,2,FALSE)&amp;" ")+1,99)),1)&amp;".")),""))</f>
        <v/>
      </c>
      <c r="F367" s="16">
        <f>IF($B367="PAGADO",MID("ABCDEFGHIJ",INT(VALUE($A367)/100)+1,1)&amp;"-"&amp;$A367,"")</f>
        <v/>
      </c>
      <c r="G367" s="16">
        <f>IF($B367="PAGADO","PAGADO",IF($B367="APARTADO",IF(NOT(ISNUMBER($C367)),"APARTADO",IF($C367&lt;1,"APARTADO",IF(NOW()-$C367&gt;1,"LIBRE","APARTADO"))),"LIBRE"))</f>
        <v/>
      </c>
      <c r="H367" s="15">
        <f>IF($G367&lt;&gt;"APARTADO","",IF(NOT(ISNUMBER($C367)),"FALTA LA HORA",IF($C367&lt;1,"FALTA LA FECHA",TEXT($C367+1,"dd/mm hh:mm"))))</f>
        <v/>
      </c>
    </row>
    <row r="368">
      <c r="A368" s="13" t="inlineStr">
        <is>
          <t>366</t>
        </is>
      </c>
      <c r="B368" t="inlineStr">
        <is>
          <t>LIBRE</t>
        </is>
      </c>
      <c r="C368" s="14" t="n"/>
      <c r="E368" s="15">
        <f>IF($G368&lt;&gt;"PAGADO","",IFERROR(IF(VLOOKUP($A368,COMPRADORES!$A:$D,4,FALSE)="NO","Reservado",LEFT(VLOOKUP($A368,COMPRADORES!$A:$D,2,FALSE),3)&amp;"***"&amp;IF(TRIM(MID(VLOOKUP($A368,COMPRADORES!$A:$D,2,FALSE)&amp;" ",FIND(" ",VLOOKUP($A368,COMPRADORES!$A:$D,2,FALSE)&amp;" ")+1,99))="",""," "&amp;LEFT(TRIM(MID(VLOOKUP($A368,COMPRADORES!$A:$D,2,FALSE)&amp;" ",FIND(" ",VLOOKUP($A368,COMPRADORES!$A:$D,2,FALSE)&amp;" ")+1,99)),1)&amp;".")),""))</f>
        <v/>
      </c>
      <c r="F368" s="16">
        <f>IF($B368="PAGADO",MID("ABCDEFGHIJ",INT(VALUE($A368)/100)+1,1)&amp;"-"&amp;$A368,"")</f>
        <v/>
      </c>
      <c r="G368" s="16">
        <f>IF($B368="PAGADO","PAGADO",IF($B368="APARTADO",IF(NOT(ISNUMBER($C368)),"APARTADO",IF($C368&lt;1,"APARTADO",IF(NOW()-$C368&gt;1,"LIBRE","APARTADO"))),"LIBRE"))</f>
        <v/>
      </c>
      <c r="H368" s="15">
        <f>IF($G368&lt;&gt;"APARTADO","",IF(NOT(ISNUMBER($C368)),"FALTA LA HORA",IF($C368&lt;1,"FALTA LA FECHA",TEXT($C368+1,"dd/mm hh:mm"))))</f>
        <v/>
      </c>
    </row>
    <row r="369">
      <c r="A369" s="13" t="inlineStr">
        <is>
          <t>367</t>
        </is>
      </c>
      <c r="B369" t="inlineStr">
        <is>
          <t>LIBRE</t>
        </is>
      </c>
      <c r="C369" s="14" t="n"/>
      <c r="E369" s="15">
        <f>IF($G369&lt;&gt;"PAGADO","",IFERROR(IF(VLOOKUP($A369,COMPRADORES!$A:$D,4,FALSE)="NO","Reservado",LEFT(VLOOKUP($A369,COMPRADORES!$A:$D,2,FALSE),3)&amp;"***"&amp;IF(TRIM(MID(VLOOKUP($A369,COMPRADORES!$A:$D,2,FALSE)&amp;" ",FIND(" ",VLOOKUP($A369,COMPRADORES!$A:$D,2,FALSE)&amp;" ")+1,99))="",""," "&amp;LEFT(TRIM(MID(VLOOKUP($A369,COMPRADORES!$A:$D,2,FALSE)&amp;" ",FIND(" ",VLOOKUP($A369,COMPRADORES!$A:$D,2,FALSE)&amp;" ")+1,99)),1)&amp;".")),""))</f>
        <v/>
      </c>
      <c r="F369" s="16">
        <f>IF($B369="PAGADO",MID("ABCDEFGHIJ",INT(VALUE($A369)/100)+1,1)&amp;"-"&amp;$A369,"")</f>
        <v/>
      </c>
      <c r="G369" s="16">
        <f>IF($B369="PAGADO","PAGADO",IF($B369="APARTADO",IF(NOT(ISNUMBER($C369)),"APARTADO",IF($C369&lt;1,"APARTADO",IF(NOW()-$C369&gt;1,"LIBRE","APARTADO"))),"LIBRE"))</f>
        <v/>
      </c>
      <c r="H369" s="15">
        <f>IF($G369&lt;&gt;"APARTADO","",IF(NOT(ISNUMBER($C369)),"FALTA LA HORA",IF($C369&lt;1,"FALTA LA FECHA",TEXT($C369+1,"dd/mm hh:mm"))))</f>
        <v/>
      </c>
    </row>
    <row r="370">
      <c r="A370" s="13" t="inlineStr">
        <is>
          <t>368</t>
        </is>
      </c>
      <c r="B370" t="inlineStr">
        <is>
          <t>LIBRE</t>
        </is>
      </c>
      <c r="C370" s="14" t="n"/>
      <c r="E370" s="15">
        <f>IF($G370&lt;&gt;"PAGADO","",IFERROR(IF(VLOOKUP($A370,COMPRADORES!$A:$D,4,FALSE)="NO","Reservado",LEFT(VLOOKUP($A370,COMPRADORES!$A:$D,2,FALSE),3)&amp;"***"&amp;IF(TRIM(MID(VLOOKUP($A370,COMPRADORES!$A:$D,2,FALSE)&amp;" ",FIND(" ",VLOOKUP($A370,COMPRADORES!$A:$D,2,FALSE)&amp;" ")+1,99))="",""," "&amp;LEFT(TRIM(MID(VLOOKUP($A370,COMPRADORES!$A:$D,2,FALSE)&amp;" ",FIND(" ",VLOOKUP($A370,COMPRADORES!$A:$D,2,FALSE)&amp;" ")+1,99)),1)&amp;".")),""))</f>
        <v/>
      </c>
      <c r="F370" s="16">
        <f>IF($B370="PAGADO",MID("ABCDEFGHIJ",INT(VALUE($A370)/100)+1,1)&amp;"-"&amp;$A370,"")</f>
        <v/>
      </c>
      <c r="G370" s="16">
        <f>IF($B370="PAGADO","PAGADO",IF($B370="APARTADO",IF(NOT(ISNUMBER($C370)),"APARTADO",IF($C370&lt;1,"APARTADO",IF(NOW()-$C370&gt;1,"LIBRE","APARTADO"))),"LIBRE"))</f>
        <v/>
      </c>
      <c r="H370" s="15">
        <f>IF($G370&lt;&gt;"APARTADO","",IF(NOT(ISNUMBER($C370)),"FALTA LA HORA",IF($C370&lt;1,"FALTA LA FECHA",TEXT($C370+1,"dd/mm hh:mm"))))</f>
        <v/>
      </c>
    </row>
    <row r="371">
      <c r="A371" s="13" t="inlineStr">
        <is>
          <t>369</t>
        </is>
      </c>
      <c r="B371" t="inlineStr">
        <is>
          <t>LIBRE</t>
        </is>
      </c>
      <c r="C371" s="14" t="n"/>
      <c r="E371" s="15">
        <f>IF($G371&lt;&gt;"PAGADO","",IFERROR(IF(VLOOKUP($A371,COMPRADORES!$A:$D,4,FALSE)="NO","Reservado",LEFT(VLOOKUP($A371,COMPRADORES!$A:$D,2,FALSE),3)&amp;"***"&amp;IF(TRIM(MID(VLOOKUP($A371,COMPRADORES!$A:$D,2,FALSE)&amp;" ",FIND(" ",VLOOKUP($A371,COMPRADORES!$A:$D,2,FALSE)&amp;" ")+1,99))="",""," "&amp;LEFT(TRIM(MID(VLOOKUP($A371,COMPRADORES!$A:$D,2,FALSE)&amp;" ",FIND(" ",VLOOKUP($A371,COMPRADORES!$A:$D,2,FALSE)&amp;" ")+1,99)),1)&amp;".")),""))</f>
        <v/>
      </c>
      <c r="F371" s="16">
        <f>IF($B371="PAGADO",MID("ABCDEFGHIJ",INT(VALUE($A371)/100)+1,1)&amp;"-"&amp;$A371,"")</f>
        <v/>
      </c>
      <c r="G371" s="16">
        <f>IF($B371="PAGADO","PAGADO",IF($B371="APARTADO",IF(NOT(ISNUMBER($C371)),"APARTADO",IF($C371&lt;1,"APARTADO",IF(NOW()-$C371&gt;1,"LIBRE","APARTADO"))),"LIBRE"))</f>
        <v/>
      </c>
      <c r="H371" s="15">
        <f>IF($G371&lt;&gt;"APARTADO","",IF(NOT(ISNUMBER($C371)),"FALTA LA HORA",IF($C371&lt;1,"FALTA LA FECHA",TEXT($C371+1,"dd/mm hh:mm"))))</f>
        <v/>
      </c>
    </row>
    <row r="372">
      <c r="A372" s="13" t="inlineStr">
        <is>
          <t>370</t>
        </is>
      </c>
      <c r="B372" t="inlineStr">
        <is>
          <t>LIBRE</t>
        </is>
      </c>
      <c r="C372" s="14" t="n"/>
      <c r="E372" s="15">
        <f>IF($G372&lt;&gt;"PAGADO","",IFERROR(IF(VLOOKUP($A372,COMPRADORES!$A:$D,4,FALSE)="NO","Reservado",LEFT(VLOOKUP($A372,COMPRADORES!$A:$D,2,FALSE),3)&amp;"***"&amp;IF(TRIM(MID(VLOOKUP($A372,COMPRADORES!$A:$D,2,FALSE)&amp;" ",FIND(" ",VLOOKUP($A372,COMPRADORES!$A:$D,2,FALSE)&amp;" ")+1,99))="",""," "&amp;LEFT(TRIM(MID(VLOOKUP($A372,COMPRADORES!$A:$D,2,FALSE)&amp;" ",FIND(" ",VLOOKUP($A372,COMPRADORES!$A:$D,2,FALSE)&amp;" ")+1,99)),1)&amp;".")),""))</f>
        <v/>
      </c>
      <c r="F372" s="16">
        <f>IF($B372="PAGADO",MID("ABCDEFGHIJ",INT(VALUE($A372)/100)+1,1)&amp;"-"&amp;$A372,"")</f>
        <v/>
      </c>
      <c r="G372" s="16">
        <f>IF($B372="PAGADO","PAGADO",IF($B372="APARTADO",IF(NOT(ISNUMBER($C372)),"APARTADO",IF($C372&lt;1,"APARTADO",IF(NOW()-$C372&gt;1,"LIBRE","APARTADO"))),"LIBRE"))</f>
        <v/>
      </c>
      <c r="H372" s="15">
        <f>IF($G372&lt;&gt;"APARTADO","",IF(NOT(ISNUMBER($C372)),"FALTA LA HORA",IF($C372&lt;1,"FALTA LA FECHA",TEXT($C372+1,"dd/mm hh:mm"))))</f>
        <v/>
      </c>
    </row>
    <row r="373">
      <c r="A373" s="13" t="inlineStr">
        <is>
          <t>371</t>
        </is>
      </c>
      <c r="B373" t="inlineStr">
        <is>
          <t>LIBRE</t>
        </is>
      </c>
      <c r="C373" s="14" t="n"/>
      <c r="E373" s="15">
        <f>IF($G373&lt;&gt;"PAGADO","",IFERROR(IF(VLOOKUP($A373,COMPRADORES!$A:$D,4,FALSE)="NO","Reservado",LEFT(VLOOKUP($A373,COMPRADORES!$A:$D,2,FALSE),3)&amp;"***"&amp;IF(TRIM(MID(VLOOKUP($A373,COMPRADORES!$A:$D,2,FALSE)&amp;" ",FIND(" ",VLOOKUP($A373,COMPRADORES!$A:$D,2,FALSE)&amp;" ")+1,99))="",""," "&amp;LEFT(TRIM(MID(VLOOKUP($A373,COMPRADORES!$A:$D,2,FALSE)&amp;" ",FIND(" ",VLOOKUP($A373,COMPRADORES!$A:$D,2,FALSE)&amp;" ")+1,99)),1)&amp;".")),""))</f>
        <v/>
      </c>
      <c r="F373" s="16">
        <f>IF($B373="PAGADO",MID("ABCDEFGHIJ",INT(VALUE($A373)/100)+1,1)&amp;"-"&amp;$A373,"")</f>
        <v/>
      </c>
      <c r="G373" s="16">
        <f>IF($B373="PAGADO","PAGADO",IF($B373="APARTADO",IF(NOT(ISNUMBER($C373)),"APARTADO",IF($C373&lt;1,"APARTADO",IF(NOW()-$C373&gt;1,"LIBRE","APARTADO"))),"LIBRE"))</f>
        <v/>
      </c>
      <c r="H373" s="15">
        <f>IF($G373&lt;&gt;"APARTADO","",IF(NOT(ISNUMBER($C373)),"FALTA LA HORA",IF($C373&lt;1,"FALTA LA FECHA",TEXT($C373+1,"dd/mm hh:mm"))))</f>
        <v/>
      </c>
    </row>
    <row r="374">
      <c r="A374" s="13" t="inlineStr">
        <is>
          <t>372</t>
        </is>
      </c>
      <c r="B374" t="inlineStr">
        <is>
          <t>LIBRE</t>
        </is>
      </c>
      <c r="C374" s="14" t="n"/>
      <c r="E374" s="15">
        <f>IF($G374&lt;&gt;"PAGADO","",IFERROR(IF(VLOOKUP($A374,COMPRADORES!$A:$D,4,FALSE)="NO","Reservado",LEFT(VLOOKUP($A374,COMPRADORES!$A:$D,2,FALSE),3)&amp;"***"&amp;IF(TRIM(MID(VLOOKUP($A374,COMPRADORES!$A:$D,2,FALSE)&amp;" ",FIND(" ",VLOOKUP($A374,COMPRADORES!$A:$D,2,FALSE)&amp;" ")+1,99))="",""," "&amp;LEFT(TRIM(MID(VLOOKUP($A374,COMPRADORES!$A:$D,2,FALSE)&amp;" ",FIND(" ",VLOOKUP($A374,COMPRADORES!$A:$D,2,FALSE)&amp;" ")+1,99)),1)&amp;".")),""))</f>
        <v/>
      </c>
      <c r="F374" s="16">
        <f>IF($B374="PAGADO",MID("ABCDEFGHIJ",INT(VALUE($A374)/100)+1,1)&amp;"-"&amp;$A374,"")</f>
        <v/>
      </c>
      <c r="G374" s="16">
        <f>IF($B374="PAGADO","PAGADO",IF($B374="APARTADO",IF(NOT(ISNUMBER($C374)),"APARTADO",IF($C374&lt;1,"APARTADO",IF(NOW()-$C374&gt;1,"LIBRE","APARTADO"))),"LIBRE"))</f>
        <v/>
      </c>
      <c r="H374" s="15">
        <f>IF($G374&lt;&gt;"APARTADO","",IF(NOT(ISNUMBER($C374)),"FALTA LA HORA",IF($C374&lt;1,"FALTA LA FECHA",TEXT($C374+1,"dd/mm hh:mm"))))</f>
        <v/>
      </c>
    </row>
    <row r="375">
      <c r="A375" s="13" t="inlineStr">
        <is>
          <t>373</t>
        </is>
      </c>
      <c r="B375" t="inlineStr">
        <is>
          <t>LIBRE</t>
        </is>
      </c>
      <c r="C375" s="14" t="n"/>
      <c r="E375" s="15">
        <f>IF($G375&lt;&gt;"PAGADO","",IFERROR(IF(VLOOKUP($A375,COMPRADORES!$A:$D,4,FALSE)="NO","Reservado",LEFT(VLOOKUP($A375,COMPRADORES!$A:$D,2,FALSE),3)&amp;"***"&amp;IF(TRIM(MID(VLOOKUP($A375,COMPRADORES!$A:$D,2,FALSE)&amp;" ",FIND(" ",VLOOKUP($A375,COMPRADORES!$A:$D,2,FALSE)&amp;" ")+1,99))="",""," "&amp;LEFT(TRIM(MID(VLOOKUP($A375,COMPRADORES!$A:$D,2,FALSE)&amp;" ",FIND(" ",VLOOKUP($A375,COMPRADORES!$A:$D,2,FALSE)&amp;" ")+1,99)),1)&amp;".")),""))</f>
        <v/>
      </c>
      <c r="F375" s="16">
        <f>IF($B375="PAGADO",MID("ABCDEFGHIJ",INT(VALUE($A375)/100)+1,1)&amp;"-"&amp;$A375,"")</f>
        <v/>
      </c>
      <c r="G375" s="16">
        <f>IF($B375="PAGADO","PAGADO",IF($B375="APARTADO",IF(NOT(ISNUMBER($C375)),"APARTADO",IF($C375&lt;1,"APARTADO",IF(NOW()-$C375&gt;1,"LIBRE","APARTADO"))),"LIBRE"))</f>
        <v/>
      </c>
      <c r="H375" s="15">
        <f>IF($G375&lt;&gt;"APARTADO","",IF(NOT(ISNUMBER($C375)),"FALTA LA HORA",IF($C375&lt;1,"FALTA LA FECHA",TEXT($C375+1,"dd/mm hh:mm"))))</f>
        <v/>
      </c>
    </row>
    <row r="376">
      <c r="A376" s="13" t="inlineStr">
        <is>
          <t>374</t>
        </is>
      </c>
      <c r="B376" t="inlineStr">
        <is>
          <t>LIBRE</t>
        </is>
      </c>
      <c r="C376" s="14" t="n"/>
      <c r="E376" s="15">
        <f>IF($G376&lt;&gt;"PAGADO","",IFERROR(IF(VLOOKUP($A376,COMPRADORES!$A:$D,4,FALSE)="NO","Reservado",LEFT(VLOOKUP($A376,COMPRADORES!$A:$D,2,FALSE),3)&amp;"***"&amp;IF(TRIM(MID(VLOOKUP($A376,COMPRADORES!$A:$D,2,FALSE)&amp;" ",FIND(" ",VLOOKUP($A376,COMPRADORES!$A:$D,2,FALSE)&amp;" ")+1,99))="",""," "&amp;LEFT(TRIM(MID(VLOOKUP($A376,COMPRADORES!$A:$D,2,FALSE)&amp;" ",FIND(" ",VLOOKUP($A376,COMPRADORES!$A:$D,2,FALSE)&amp;" ")+1,99)),1)&amp;".")),""))</f>
        <v/>
      </c>
      <c r="F376" s="16">
        <f>IF($B376="PAGADO",MID("ABCDEFGHIJ",INT(VALUE($A376)/100)+1,1)&amp;"-"&amp;$A376,"")</f>
        <v/>
      </c>
      <c r="G376" s="16">
        <f>IF($B376="PAGADO","PAGADO",IF($B376="APARTADO",IF(NOT(ISNUMBER($C376)),"APARTADO",IF($C376&lt;1,"APARTADO",IF(NOW()-$C376&gt;1,"LIBRE","APARTADO"))),"LIBRE"))</f>
        <v/>
      </c>
      <c r="H376" s="15">
        <f>IF($G376&lt;&gt;"APARTADO","",IF(NOT(ISNUMBER($C376)),"FALTA LA HORA",IF($C376&lt;1,"FALTA LA FECHA",TEXT($C376+1,"dd/mm hh:mm"))))</f>
        <v/>
      </c>
    </row>
    <row r="377">
      <c r="A377" s="13" t="inlineStr">
        <is>
          <t>375</t>
        </is>
      </c>
      <c r="B377" t="inlineStr">
        <is>
          <t>LIBRE</t>
        </is>
      </c>
      <c r="C377" s="14" t="n"/>
      <c r="E377" s="15">
        <f>IF($G377&lt;&gt;"PAGADO","",IFERROR(IF(VLOOKUP($A377,COMPRADORES!$A:$D,4,FALSE)="NO","Reservado",LEFT(VLOOKUP($A377,COMPRADORES!$A:$D,2,FALSE),3)&amp;"***"&amp;IF(TRIM(MID(VLOOKUP($A377,COMPRADORES!$A:$D,2,FALSE)&amp;" ",FIND(" ",VLOOKUP($A377,COMPRADORES!$A:$D,2,FALSE)&amp;" ")+1,99))="",""," "&amp;LEFT(TRIM(MID(VLOOKUP($A377,COMPRADORES!$A:$D,2,FALSE)&amp;" ",FIND(" ",VLOOKUP($A377,COMPRADORES!$A:$D,2,FALSE)&amp;" ")+1,99)),1)&amp;".")),""))</f>
        <v/>
      </c>
      <c r="F377" s="16">
        <f>IF($B377="PAGADO",MID("ABCDEFGHIJ",INT(VALUE($A377)/100)+1,1)&amp;"-"&amp;$A377,"")</f>
        <v/>
      </c>
      <c r="G377" s="16">
        <f>IF($B377="PAGADO","PAGADO",IF($B377="APARTADO",IF(NOT(ISNUMBER($C377)),"APARTADO",IF($C377&lt;1,"APARTADO",IF(NOW()-$C377&gt;1,"LIBRE","APARTADO"))),"LIBRE"))</f>
        <v/>
      </c>
      <c r="H377" s="15">
        <f>IF($G377&lt;&gt;"APARTADO","",IF(NOT(ISNUMBER($C377)),"FALTA LA HORA",IF($C377&lt;1,"FALTA LA FECHA",TEXT($C377+1,"dd/mm hh:mm"))))</f>
        <v/>
      </c>
    </row>
    <row r="378">
      <c r="A378" s="13" t="inlineStr">
        <is>
          <t>376</t>
        </is>
      </c>
      <c r="B378" t="inlineStr">
        <is>
          <t>LIBRE</t>
        </is>
      </c>
      <c r="C378" s="14" t="n"/>
      <c r="E378" s="15">
        <f>IF($G378&lt;&gt;"PAGADO","",IFERROR(IF(VLOOKUP($A378,COMPRADORES!$A:$D,4,FALSE)="NO","Reservado",LEFT(VLOOKUP($A378,COMPRADORES!$A:$D,2,FALSE),3)&amp;"***"&amp;IF(TRIM(MID(VLOOKUP($A378,COMPRADORES!$A:$D,2,FALSE)&amp;" ",FIND(" ",VLOOKUP($A378,COMPRADORES!$A:$D,2,FALSE)&amp;" ")+1,99))="",""," "&amp;LEFT(TRIM(MID(VLOOKUP($A378,COMPRADORES!$A:$D,2,FALSE)&amp;" ",FIND(" ",VLOOKUP($A378,COMPRADORES!$A:$D,2,FALSE)&amp;" ")+1,99)),1)&amp;".")),""))</f>
        <v/>
      </c>
      <c r="F378" s="16">
        <f>IF($B378="PAGADO",MID("ABCDEFGHIJ",INT(VALUE($A378)/100)+1,1)&amp;"-"&amp;$A378,"")</f>
        <v/>
      </c>
      <c r="G378" s="16">
        <f>IF($B378="PAGADO","PAGADO",IF($B378="APARTADO",IF(NOT(ISNUMBER($C378)),"APARTADO",IF($C378&lt;1,"APARTADO",IF(NOW()-$C378&gt;1,"LIBRE","APARTADO"))),"LIBRE"))</f>
        <v/>
      </c>
      <c r="H378" s="15">
        <f>IF($G378&lt;&gt;"APARTADO","",IF(NOT(ISNUMBER($C378)),"FALTA LA HORA",IF($C378&lt;1,"FALTA LA FECHA",TEXT($C378+1,"dd/mm hh:mm"))))</f>
        <v/>
      </c>
    </row>
    <row r="379">
      <c r="A379" s="13" t="inlineStr">
        <is>
          <t>377</t>
        </is>
      </c>
      <c r="B379" t="inlineStr">
        <is>
          <t>LIBRE</t>
        </is>
      </c>
      <c r="C379" s="14" t="n"/>
      <c r="E379" s="15">
        <f>IF($G379&lt;&gt;"PAGADO","",IFERROR(IF(VLOOKUP($A379,COMPRADORES!$A:$D,4,FALSE)="NO","Reservado",LEFT(VLOOKUP($A379,COMPRADORES!$A:$D,2,FALSE),3)&amp;"***"&amp;IF(TRIM(MID(VLOOKUP($A379,COMPRADORES!$A:$D,2,FALSE)&amp;" ",FIND(" ",VLOOKUP($A379,COMPRADORES!$A:$D,2,FALSE)&amp;" ")+1,99))="",""," "&amp;LEFT(TRIM(MID(VLOOKUP($A379,COMPRADORES!$A:$D,2,FALSE)&amp;" ",FIND(" ",VLOOKUP($A379,COMPRADORES!$A:$D,2,FALSE)&amp;" ")+1,99)),1)&amp;".")),""))</f>
        <v/>
      </c>
      <c r="F379" s="16">
        <f>IF($B379="PAGADO",MID("ABCDEFGHIJ",INT(VALUE($A379)/100)+1,1)&amp;"-"&amp;$A379,"")</f>
        <v/>
      </c>
      <c r="G379" s="16">
        <f>IF($B379="PAGADO","PAGADO",IF($B379="APARTADO",IF(NOT(ISNUMBER($C379)),"APARTADO",IF($C379&lt;1,"APARTADO",IF(NOW()-$C379&gt;1,"LIBRE","APARTADO"))),"LIBRE"))</f>
        <v/>
      </c>
      <c r="H379" s="15">
        <f>IF($G379&lt;&gt;"APARTADO","",IF(NOT(ISNUMBER($C379)),"FALTA LA HORA",IF($C379&lt;1,"FALTA LA FECHA",TEXT($C379+1,"dd/mm hh:mm"))))</f>
        <v/>
      </c>
    </row>
    <row r="380">
      <c r="A380" s="13" t="inlineStr">
        <is>
          <t>378</t>
        </is>
      </c>
      <c r="B380" t="inlineStr">
        <is>
          <t>LIBRE</t>
        </is>
      </c>
      <c r="C380" s="14" t="n"/>
      <c r="E380" s="15">
        <f>IF($G380&lt;&gt;"PAGADO","",IFERROR(IF(VLOOKUP($A380,COMPRADORES!$A:$D,4,FALSE)="NO","Reservado",LEFT(VLOOKUP($A380,COMPRADORES!$A:$D,2,FALSE),3)&amp;"***"&amp;IF(TRIM(MID(VLOOKUP($A380,COMPRADORES!$A:$D,2,FALSE)&amp;" ",FIND(" ",VLOOKUP($A380,COMPRADORES!$A:$D,2,FALSE)&amp;" ")+1,99))="",""," "&amp;LEFT(TRIM(MID(VLOOKUP($A380,COMPRADORES!$A:$D,2,FALSE)&amp;" ",FIND(" ",VLOOKUP($A380,COMPRADORES!$A:$D,2,FALSE)&amp;" ")+1,99)),1)&amp;".")),""))</f>
        <v/>
      </c>
      <c r="F380" s="16">
        <f>IF($B380="PAGADO",MID("ABCDEFGHIJ",INT(VALUE($A380)/100)+1,1)&amp;"-"&amp;$A380,"")</f>
        <v/>
      </c>
      <c r="G380" s="16">
        <f>IF($B380="PAGADO","PAGADO",IF($B380="APARTADO",IF(NOT(ISNUMBER($C380)),"APARTADO",IF($C380&lt;1,"APARTADO",IF(NOW()-$C380&gt;1,"LIBRE","APARTADO"))),"LIBRE"))</f>
        <v/>
      </c>
      <c r="H380" s="15">
        <f>IF($G380&lt;&gt;"APARTADO","",IF(NOT(ISNUMBER($C380)),"FALTA LA HORA",IF($C380&lt;1,"FALTA LA FECHA",TEXT($C380+1,"dd/mm hh:mm"))))</f>
        <v/>
      </c>
    </row>
    <row r="381">
      <c r="A381" s="13" t="inlineStr">
        <is>
          <t>379</t>
        </is>
      </c>
      <c r="B381" t="inlineStr">
        <is>
          <t>LIBRE</t>
        </is>
      </c>
      <c r="C381" s="14" t="n"/>
      <c r="E381" s="15">
        <f>IF($G381&lt;&gt;"PAGADO","",IFERROR(IF(VLOOKUP($A381,COMPRADORES!$A:$D,4,FALSE)="NO","Reservado",LEFT(VLOOKUP($A381,COMPRADORES!$A:$D,2,FALSE),3)&amp;"***"&amp;IF(TRIM(MID(VLOOKUP($A381,COMPRADORES!$A:$D,2,FALSE)&amp;" ",FIND(" ",VLOOKUP($A381,COMPRADORES!$A:$D,2,FALSE)&amp;" ")+1,99))="",""," "&amp;LEFT(TRIM(MID(VLOOKUP($A381,COMPRADORES!$A:$D,2,FALSE)&amp;" ",FIND(" ",VLOOKUP($A381,COMPRADORES!$A:$D,2,FALSE)&amp;" ")+1,99)),1)&amp;".")),""))</f>
        <v/>
      </c>
      <c r="F381" s="16">
        <f>IF($B381="PAGADO",MID("ABCDEFGHIJ",INT(VALUE($A381)/100)+1,1)&amp;"-"&amp;$A381,"")</f>
        <v/>
      </c>
      <c r="G381" s="16">
        <f>IF($B381="PAGADO","PAGADO",IF($B381="APARTADO",IF(NOT(ISNUMBER($C381)),"APARTADO",IF($C381&lt;1,"APARTADO",IF(NOW()-$C381&gt;1,"LIBRE","APARTADO"))),"LIBRE"))</f>
        <v/>
      </c>
      <c r="H381" s="15">
        <f>IF($G381&lt;&gt;"APARTADO","",IF(NOT(ISNUMBER($C381)),"FALTA LA HORA",IF($C381&lt;1,"FALTA LA FECHA",TEXT($C381+1,"dd/mm hh:mm"))))</f>
        <v/>
      </c>
    </row>
    <row r="382">
      <c r="A382" s="13" t="inlineStr">
        <is>
          <t>380</t>
        </is>
      </c>
      <c r="B382" t="inlineStr">
        <is>
          <t>LIBRE</t>
        </is>
      </c>
      <c r="C382" s="14" t="n"/>
      <c r="E382" s="15">
        <f>IF($G382&lt;&gt;"PAGADO","",IFERROR(IF(VLOOKUP($A382,COMPRADORES!$A:$D,4,FALSE)="NO","Reservado",LEFT(VLOOKUP($A382,COMPRADORES!$A:$D,2,FALSE),3)&amp;"***"&amp;IF(TRIM(MID(VLOOKUP($A382,COMPRADORES!$A:$D,2,FALSE)&amp;" ",FIND(" ",VLOOKUP($A382,COMPRADORES!$A:$D,2,FALSE)&amp;" ")+1,99))="",""," "&amp;LEFT(TRIM(MID(VLOOKUP($A382,COMPRADORES!$A:$D,2,FALSE)&amp;" ",FIND(" ",VLOOKUP($A382,COMPRADORES!$A:$D,2,FALSE)&amp;" ")+1,99)),1)&amp;".")),""))</f>
        <v/>
      </c>
      <c r="F382" s="16">
        <f>IF($B382="PAGADO",MID("ABCDEFGHIJ",INT(VALUE($A382)/100)+1,1)&amp;"-"&amp;$A382,"")</f>
        <v/>
      </c>
      <c r="G382" s="16">
        <f>IF($B382="PAGADO","PAGADO",IF($B382="APARTADO",IF(NOT(ISNUMBER($C382)),"APARTADO",IF($C382&lt;1,"APARTADO",IF(NOW()-$C382&gt;1,"LIBRE","APARTADO"))),"LIBRE"))</f>
        <v/>
      </c>
      <c r="H382" s="15">
        <f>IF($G382&lt;&gt;"APARTADO","",IF(NOT(ISNUMBER($C382)),"FALTA LA HORA",IF($C382&lt;1,"FALTA LA FECHA",TEXT($C382+1,"dd/mm hh:mm"))))</f>
        <v/>
      </c>
    </row>
    <row r="383">
      <c r="A383" s="13" t="inlineStr">
        <is>
          <t>381</t>
        </is>
      </c>
      <c r="B383" t="inlineStr">
        <is>
          <t>LIBRE</t>
        </is>
      </c>
      <c r="C383" s="14" t="n"/>
      <c r="E383" s="15">
        <f>IF($G383&lt;&gt;"PAGADO","",IFERROR(IF(VLOOKUP($A383,COMPRADORES!$A:$D,4,FALSE)="NO","Reservado",LEFT(VLOOKUP($A383,COMPRADORES!$A:$D,2,FALSE),3)&amp;"***"&amp;IF(TRIM(MID(VLOOKUP($A383,COMPRADORES!$A:$D,2,FALSE)&amp;" ",FIND(" ",VLOOKUP($A383,COMPRADORES!$A:$D,2,FALSE)&amp;" ")+1,99))="",""," "&amp;LEFT(TRIM(MID(VLOOKUP($A383,COMPRADORES!$A:$D,2,FALSE)&amp;" ",FIND(" ",VLOOKUP($A383,COMPRADORES!$A:$D,2,FALSE)&amp;" ")+1,99)),1)&amp;".")),""))</f>
        <v/>
      </c>
      <c r="F383" s="16">
        <f>IF($B383="PAGADO",MID("ABCDEFGHIJ",INT(VALUE($A383)/100)+1,1)&amp;"-"&amp;$A383,"")</f>
        <v/>
      </c>
      <c r="G383" s="16">
        <f>IF($B383="PAGADO","PAGADO",IF($B383="APARTADO",IF(NOT(ISNUMBER($C383)),"APARTADO",IF($C383&lt;1,"APARTADO",IF(NOW()-$C383&gt;1,"LIBRE","APARTADO"))),"LIBRE"))</f>
        <v/>
      </c>
      <c r="H383" s="15">
        <f>IF($G383&lt;&gt;"APARTADO","",IF(NOT(ISNUMBER($C383)),"FALTA LA HORA",IF($C383&lt;1,"FALTA LA FECHA",TEXT($C383+1,"dd/mm hh:mm"))))</f>
        <v/>
      </c>
    </row>
    <row r="384">
      <c r="A384" s="13" t="inlineStr">
        <is>
          <t>382</t>
        </is>
      </c>
      <c r="B384" t="inlineStr">
        <is>
          <t>LIBRE</t>
        </is>
      </c>
      <c r="C384" s="14" t="n"/>
      <c r="E384" s="15">
        <f>IF($G384&lt;&gt;"PAGADO","",IFERROR(IF(VLOOKUP($A384,COMPRADORES!$A:$D,4,FALSE)="NO","Reservado",LEFT(VLOOKUP($A384,COMPRADORES!$A:$D,2,FALSE),3)&amp;"***"&amp;IF(TRIM(MID(VLOOKUP($A384,COMPRADORES!$A:$D,2,FALSE)&amp;" ",FIND(" ",VLOOKUP($A384,COMPRADORES!$A:$D,2,FALSE)&amp;" ")+1,99))="",""," "&amp;LEFT(TRIM(MID(VLOOKUP($A384,COMPRADORES!$A:$D,2,FALSE)&amp;" ",FIND(" ",VLOOKUP($A384,COMPRADORES!$A:$D,2,FALSE)&amp;" ")+1,99)),1)&amp;".")),""))</f>
        <v/>
      </c>
      <c r="F384" s="16">
        <f>IF($B384="PAGADO",MID("ABCDEFGHIJ",INT(VALUE($A384)/100)+1,1)&amp;"-"&amp;$A384,"")</f>
        <v/>
      </c>
      <c r="G384" s="16">
        <f>IF($B384="PAGADO","PAGADO",IF($B384="APARTADO",IF(NOT(ISNUMBER($C384)),"APARTADO",IF($C384&lt;1,"APARTADO",IF(NOW()-$C384&gt;1,"LIBRE","APARTADO"))),"LIBRE"))</f>
        <v/>
      </c>
      <c r="H384" s="15">
        <f>IF($G384&lt;&gt;"APARTADO","",IF(NOT(ISNUMBER($C384)),"FALTA LA HORA",IF($C384&lt;1,"FALTA LA FECHA",TEXT($C384+1,"dd/mm hh:mm"))))</f>
        <v/>
      </c>
    </row>
    <row r="385">
      <c r="A385" s="13" t="inlineStr">
        <is>
          <t>383</t>
        </is>
      </c>
      <c r="B385" t="inlineStr">
        <is>
          <t>LIBRE</t>
        </is>
      </c>
      <c r="C385" s="14" t="n"/>
      <c r="E385" s="15">
        <f>IF($G385&lt;&gt;"PAGADO","",IFERROR(IF(VLOOKUP($A385,COMPRADORES!$A:$D,4,FALSE)="NO","Reservado",LEFT(VLOOKUP($A385,COMPRADORES!$A:$D,2,FALSE),3)&amp;"***"&amp;IF(TRIM(MID(VLOOKUP($A385,COMPRADORES!$A:$D,2,FALSE)&amp;" ",FIND(" ",VLOOKUP($A385,COMPRADORES!$A:$D,2,FALSE)&amp;" ")+1,99))="",""," "&amp;LEFT(TRIM(MID(VLOOKUP($A385,COMPRADORES!$A:$D,2,FALSE)&amp;" ",FIND(" ",VLOOKUP($A385,COMPRADORES!$A:$D,2,FALSE)&amp;" ")+1,99)),1)&amp;".")),""))</f>
        <v/>
      </c>
      <c r="F385" s="16">
        <f>IF($B385="PAGADO",MID("ABCDEFGHIJ",INT(VALUE($A385)/100)+1,1)&amp;"-"&amp;$A385,"")</f>
        <v/>
      </c>
      <c r="G385" s="16">
        <f>IF($B385="PAGADO","PAGADO",IF($B385="APARTADO",IF(NOT(ISNUMBER($C385)),"APARTADO",IF($C385&lt;1,"APARTADO",IF(NOW()-$C385&gt;1,"LIBRE","APARTADO"))),"LIBRE"))</f>
        <v/>
      </c>
      <c r="H385" s="15">
        <f>IF($G385&lt;&gt;"APARTADO","",IF(NOT(ISNUMBER($C385)),"FALTA LA HORA",IF($C385&lt;1,"FALTA LA FECHA",TEXT($C385+1,"dd/mm hh:mm"))))</f>
        <v/>
      </c>
    </row>
    <row r="386">
      <c r="A386" s="13" t="inlineStr">
        <is>
          <t>384</t>
        </is>
      </c>
      <c r="B386" t="inlineStr">
        <is>
          <t>LIBRE</t>
        </is>
      </c>
      <c r="C386" s="14" t="n"/>
      <c r="E386" s="15">
        <f>IF($G386&lt;&gt;"PAGADO","",IFERROR(IF(VLOOKUP($A386,COMPRADORES!$A:$D,4,FALSE)="NO","Reservado",LEFT(VLOOKUP($A386,COMPRADORES!$A:$D,2,FALSE),3)&amp;"***"&amp;IF(TRIM(MID(VLOOKUP($A386,COMPRADORES!$A:$D,2,FALSE)&amp;" ",FIND(" ",VLOOKUP($A386,COMPRADORES!$A:$D,2,FALSE)&amp;" ")+1,99))="",""," "&amp;LEFT(TRIM(MID(VLOOKUP($A386,COMPRADORES!$A:$D,2,FALSE)&amp;" ",FIND(" ",VLOOKUP($A386,COMPRADORES!$A:$D,2,FALSE)&amp;" ")+1,99)),1)&amp;".")),""))</f>
        <v/>
      </c>
      <c r="F386" s="16">
        <f>IF($B386="PAGADO",MID("ABCDEFGHIJ",INT(VALUE($A386)/100)+1,1)&amp;"-"&amp;$A386,"")</f>
        <v/>
      </c>
      <c r="G386" s="16">
        <f>IF($B386="PAGADO","PAGADO",IF($B386="APARTADO",IF(NOT(ISNUMBER($C386)),"APARTADO",IF($C386&lt;1,"APARTADO",IF(NOW()-$C386&gt;1,"LIBRE","APARTADO"))),"LIBRE"))</f>
        <v/>
      </c>
      <c r="H386" s="15">
        <f>IF($G386&lt;&gt;"APARTADO","",IF(NOT(ISNUMBER($C386)),"FALTA LA HORA",IF($C386&lt;1,"FALTA LA FECHA",TEXT($C386+1,"dd/mm hh:mm"))))</f>
        <v/>
      </c>
    </row>
    <row r="387">
      <c r="A387" s="13" t="inlineStr">
        <is>
          <t>385</t>
        </is>
      </c>
      <c r="B387" t="inlineStr">
        <is>
          <t>LIBRE</t>
        </is>
      </c>
      <c r="C387" s="14" t="n"/>
      <c r="E387" s="15">
        <f>IF($G387&lt;&gt;"PAGADO","",IFERROR(IF(VLOOKUP($A387,COMPRADORES!$A:$D,4,FALSE)="NO","Reservado",LEFT(VLOOKUP($A387,COMPRADORES!$A:$D,2,FALSE),3)&amp;"***"&amp;IF(TRIM(MID(VLOOKUP($A387,COMPRADORES!$A:$D,2,FALSE)&amp;" ",FIND(" ",VLOOKUP($A387,COMPRADORES!$A:$D,2,FALSE)&amp;" ")+1,99))="",""," "&amp;LEFT(TRIM(MID(VLOOKUP($A387,COMPRADORES!$A:$D,2,FALSE)&amp;" ",FIND(" ",VLOOKUP($A387,COMPRADORES!$A:$D,2,FALSE)&amp;" ")+1,99)),1)&amp;".")),""))</f>
        <v/>
      </c>
      <c r="F387" s="16">
        <f>IF($B387="PAGADO",MID("ABCDEFGHIJ",INT(VALUE($A387)/100)+1,1)&amp;"-"&amp;$A387,"")</f>
        <v/>
      </c>
      <c r="G387" s="16">
        <f>IF($B387="PAGADO","PAGADO",IF($B387="APARTADO",IF(NOT(ISNUMBER($C387)),"APARTADO",IF($C387&lt;1,"APARTADO",IF(NOW()-$C387&gt;1,"LIBRE","APARTADO"))),"LIBRE"))</f>
        <v/>
      </c>
      <c r="H387" s="15">
        <f>IF($G387&lt;&gt;"APARTADO","",IF(NOT(ISNUMBER($C387)),"FALTA LA HORA",IF($C387&lt;1,"FALTA LA FECHA",TEXT($C387+1,"dd/mm hh:mm"))))</f>
        <v/>
      </c>
    </row>
    <row r="388">
      <c r="A388" s="13" t="inlineStr">
        <is>
          <t>386</t>
        </is>
      </c>
      <c r="B388" t="inlineStr">
        <is>
          <t>LIBRE</t>
        </is>
      </c>
      <c r="C388" s="14" t="n"/>
      <c r="E388" s="15">
        <f>IF($G388&lt;&gt;"PAGADO","",IFERROR(IF(VLOOKUP($A388,COMPRADORES!$A:$D,4,FALSE)="NO","Reservado",LEFT(VLOOKUP($A388,COMPRADORES!$A:$D,2,FALSE),3)&amp;"***"&amp;IF(TRIM(MID(VLOOKUP($A388,COMPRADORES!$A:$D,2,FALSE)&amp;" ",FIND(" ",VLOOKUP($A388,COMPRADORES!$A:$D,2,FALSE)&amp;" ")+1,99))="",""," "&amp;LEFT(TRIM(MID(VLOOKUP($A388,COMPRADORES!$A:$D,2,FALSE)&amp;" ",FIND(" ",VLOOKUP($A388,COMPRADORES!$A:$D,2,FALSE)&amp;" ")+1,99)),1)&amp;".")),""))</f>
        <v/>
      </c>
      <c r="F388" s="16">
        <f>IF($B388="PAGADO",MID("ABCDEFGHIJ",INT(VALUE($A388)/100)+1,1)&amp;"-"&amp;$A388,"")</f>
        <v/>
      </c>
      <c r="G388" s="16">
        <f>IF($B388="PAGADO","PAGADO",IF($B388="APARTADO",IF(NOT(ISNUMBER($C388)),"APARTADO",IF($C388&lt;1,"APARTADO",IF(NOW()-$C388&gt;1,"LIBRE","APARTADO"))),"LIBRE"))</f>
        <v/>
      </c>
      <c r="H388" s="15">
        <f>IF($G388&lt;&gt;"APARTADO","",IF(NOT(ISNUMBER($C388)),"FALTA LA HORA",IF($C388&lt;1,"FALTA LA FECHA",TEXT($C388+1,"dd/mm hh:mm"))))</f>
        <v/>
      </c>
    </row>
    <row r="389">
      <c r="A389" s="13" t="inlineStr">
        <is>
          <t>387</t>
        </is>
      </c>
      <c r="B389" t="inlineStr">
        <is>
          <t>LIBRE</t>
        </is>
      </c>
      <c r="C389" s="14" t="n"/>
      <c r="E389" s="15">
        <f>IF($G389&lt;&gt;"PAGADO","",IFERROR(IF(VLOOKUP($A389,COMPRADORES!$A:$D,4,FALSE)="NO","Reservado",LEFT(VLOOKUP($A389,COMPRADORES!$A:$D,2,FALSE),3)&amp;"***"&amp;IF(TRIM(MID(VLOOKUP($A389,COMPRADORES!$A:$D,2,FALSE)&amp;" ",FIND(" ",VLOOKUP($A389,COMPRADORES!$A:$D,2,FALSE)&amp;" ")+1,99))="",""," "&amp;LEFT(TRIM(MID(VLOOKUP($A389,COMPRADORES!$A:$D,2,FALSE)&amp;" ",FIND(" ",VLOOKUP($A389,COMPRADORES!$A:$D,2,FALSE)&amp;" ")+1,99)),1)&amp;".")),""))</f>
        <v/>
      </c>
      <c r="F389" s="16">
        <f>IF($B389="PAGADO",MID("ABCDEFGHIJ",INT(VALUE($A389)/100)+1,1)&amp;"-"&amp;$A389,"")</f>
        <v/>
      </c>
      <c r="G389" s="16">
        <f>IF($B389="PAGADO","PAGADO",IF($B389="APARTADO",IF(NOT(ISNUMBER($C389)),"APARTADO",IF($C389&lt;1,"APARTADO",IF(NOW()-$C389&gt;1,"LIBRE","APARTADO"))),"LIBRE"))</f>
        <v/>
      </c>
      <c r="H389" s="15">
        <f>IF($G389&lt;&gt;"APARTADO","",IF(NOT(ISNUMBER($C389)),"FALTA LA HORA",IF($C389&lt;1,"FALTA LA FECHA",TEXT($C389+1,"dd/mm hh:mm"))))</f>
        <v/>
      </c>
    </row>
    <row r="390">
      <c r="A390" s="13" t="inlineStr">
        <is>
          <t>388</t>
        </is>
      </c>
      <c r="B390" t="inlineStr">
        <is>
          <t>LIBRE</t>
        </is>
      </c>
      <c r="C390" s="14" t="n"/>
      <c r="E390" s="15">
        <f>IF($G390&lt;&gt;"PAGADO","",IFERROR(IF(VLOOKUP($A390,COMPRADORES!$A:$D,4,FALSE)="NO","Reservado",LEFT(VLOOKUP($A390,COMPRADORES!$A:$D,2,FALSE),3)&amp;"***"&amp;IF(TRIM(MID(VLOOKUP($A390,COMPRADORES!$A:$D,2,FALSE)&amp;" ",FIND(" ",VLOOKUP($A390,COMPRADORES!$A:$D,2,FALSE)&amp;" ")+1,99))="",""," "&amp;LEFT(TRIM(MID(VLOOKUP($A390,COMPRADORES!$A:$D,2,FALSE)&amp;" ",FIND(" ",VLOOKUP($A390,COMPRADORES!$A:$D,2,FALSE)&amp;" ")+1,99)),1)&amp;".")),""))</f>
        <v/>
      </c>
      <c r="F390" s="16">
        <f>IF($B390="PAGADO",MID("ABCDEFGHIJ",INT(VALUE($A390)/100)+1,1)&amp;"-"&amp;$A390,"")</f>
        <v/>
      </c>
      <c r="G390" s="16">
        <f>IF($B390="PAGADO","PAGADO",IF($B390="APARTADO",IF(NOT(ISNUMBER($C390)),"APARTADO",IF($C390&lt;1,"APARTADO",IF(NOW()-$C390&gt;1,"LIBRE","APARTADO"))),"LIBRE"))</f>
        <v/>
      </c>
      <c r="H390" s="15">
        <f>IF($G390&lt;&gt;"APARTADO","",IF(NOT(ISNUMBER($C390)),"FALTA LA HORA",IF($C390&lt;1,"FALTA LA FECHA",TEXT($C390+1,"dd/mm hh:mm"))))</f>
        <v/>
      </c>
    </row>
    <row r="391">
      <c r="A391" s="13" t="inlineStr">
        <is>
          <t>389</t>
        </is>
      </c>
      <c r="B391" t="inlineStr">
        <is>
          <t>LIBRE</t>
        </is>
      </c>
      <c r="C391" s="14" t="n"/>
      <c r="E391" s="15">
        <f>IF($G391&lt;&gt;"PAGADO","",IFERROR(IF(VLOOKUP($A391,COMPRADORES!$A:$D,4,FALSE)="NO","Reservado",LEFT(VLOOKUP($A391,COMPRADORES!$A:$D,2,FALSE),3)&amp;"***"&amp;IF(TRIM(MID(VLOOKUP($A391,COMPRADORES!$A:$D,2,FALSE)&amp;" ",FIND(" ",VLOOKUP($A391,COMPRADORES!$A:$D,2,FALSE)&amp;" ")+1,99))="",""," "&amp;LEFT(TRIM(MID(VLOOKUP($A391,COMPRADORES!$A:$D,2,FALSE)&amp;" ",FIND(" ",VLOOKUP($A391,COMPRADORES!$A:$D,2,FALSE)&amp;" ")+1,99)),1)&amp;".")),""))</f>
        <v/>
      </c>
      <c r="F391" s="16">
        <f>IF($B391="PAGADO",MID("ABCDEFGHIJ",INT(VALUE($A391)/100)+1,1)&amp;"-"&amp;$A391,"")</f>
        <v/>
      </c>
      <c r="G391" s="16">
        <f>IF($B391="PAGADO","PAGADO",IF($B391="APARTADO",IF(NOT(ISNUMBER($C391)),"APARTADO",IF($C391&lt;1,"APARTADO",IF(NOW()-$C391&gt;1,"LIBRE","APARTADO"))),"LIBRE"))</f>
        <v/>
      </c>
      <c r="H391" s="15">
        <f>IF($G391&lt;&gt;"APARTADO","",IF(NOT(ISNUMBER($C391)),"FALTA LA HORA",IF($C391&lt;1,"FALTA LA FECHA",TEXT($C391+1,"dd/mm hh:mm"))))</f>
        <v/>
      </c>
    </row>
    <row r="392">
      <c r="A392" s="13" t="inlineStr">
        <is>
          <t>390</t>
        </is>
      </c>
      <c r="B392" t="inlineStr">
        <is>
          <t>LIBRE</t>
        </is>
      </c>
      <c r="C392" s="14" t="n"/>
      <c r="E392" s="15">
        <f>IF($G392&lt;&gt;"PAGADO","",IFERROR(IF(VLOOKUP($A392,COMPRADORES!$A:$D,4,FALSE)="NO","Reservado",LEFT(VLOOKUP($A392,COMPRADORES!$A:$D,2,FALSE),3)&amp;"***"&amp;IF(TRIM(MID(VLOOKUP($A392,COMPRADORES!$A:$D,2,FALSE)&amp;" ",FIND(" ",VLOOKUP($A392,COMPRADORES!$A:$D,2,FALSE)&amp;" ")+1,99))="",""," "&amp;LEFT(TRIM(MID(VLOOKUP($A392,COMPRADORES!$A:$D,2,FALSE)&amp;" ",FIND(" ",VLOOKUP($A392,COMPRADORES!$A:$D,2,FALSE)&amp;" ")+1,99)),1)&amp;".")),""))</f>
        <v/>
      </c>
      <c r="F392" s="16">
        <f>IF($B392="PAGADO",MID("ABCDEFGHIJ",INT(VALUE($A392)/100)+1,1)&amp;"-"&amp;$A392,"")</f>
        <v/>
      </c>
      <c r="G392" s="16">
        <f>IF($B392="PAGADO","PAGADO",IF($B392="APARTADO",IF(NOT(ISNUMBER($C392)),"APARTADO",IF($C392&lt;1,"APARTADO",IF(NOW()-$C392&gt;1,"LIBRE","APARTADO"))),"LIBRE"))</f>
        <v/>
      </c>
      <c r="H392" s="15">
        <f>IF($G392&lt;&gt;"APARTADO","",IF(NOT(ISNUMBER($C392)),"FALTA LA HORA",IF($C392&lt;1,"FALTA LA FECHA",TEXT($C392+1,"dd/mm hh:mm"))))</f>
        <v/>
      </c>
    </row>
    <row r="393">
      <c r="A393" s="13" t="inlineStr">
        <is>
          <t>391</t>
        </is>
      </c>
      <c r="B393" t="inlineStr">
        <is>
          <t>LIBRE</t>
        </is>
      </c>
      <c r="C393" s="14" t="n"/>
      <c r="E393" s="15">
        <f>IF($G393&lt;&gt;"PAGADO","",IFERROR(IF(VLOOKUP($A393,COMPRADORES!$A:$D,4,FALSE)="NO","Reservado",LEFT(VLOOKUP($A393,COMPRADORES!$A:$D,2,FALSE),3)&amp;"***"&amp;IF(TRIM(MID(VLOOKUP($A393,COMPRADORES!$A:$D,2,FALSE)&amp;" ",FIND(" ",VLOOKUP($A393,COMPRADORES!$A:$D,2,FALSE)&amp;" ")+1,99))="",""," "&amp;LEFT(TRIM(MID(VLOOKUP($A393,COMPRADORES!$A:$D,2,FALSE)&amp;" ",FIND(" ",VLOOKUP($A393,COMPRADORES!$A:$D,2,FALSE)&amp;" ")+1,99)),1)&amp;".")),""))</f>
        <v/>
      </c>
      <c r="F393" s="16">
        <f>IF($B393="PAGADO",MID("ABCDEFGHIJ",INT(VALUE($A393)/100)+1,1)&amp;"-"&amp;$A393,"")</f>
        <v/>
      </c>
      <c r="G393" s="16">
        <f>IF($B393="PAGADO","PAGADO",IF($B393="APARTADO",IF(NOT(ISNUMBER($C393)),"APARTADO",IF($C393&lt;1,"APARTADO",IF(NOW()-$C393&gt;1,"LIBRE","APARTADO"))),"LIBRE"))</f>
        <v/>
      </c>
      <c r="H393" s="15">
        <f>IF($G393&lt;&gt;"APARTADO","",IF(NOT(ISNUMBER($C393)),"FALTA LA HORA",IF($C393&lt;1,"FALTA LA FECHA",TEXT($C393+1,"dd/mm hh:mm"))))</f>
        <v/>
      </c>
    </row>
    <row r="394">
      <c r="A394" s="13" t="inlineStr">
        <is>
          <t>392</t>
        </is>
      </c>
      <c r="B394" t="inlineStr">
        <is>
          <t>LIBRE</t>
        </is>
      </c>
      <c r="C394" s="14" t="n"/>
      <c r="E394" s="15">
        <f>IF($G394&lt;&gt;"PAGADO","",IFERROR(IF(VLOOKUP($A394,COMPRADORES!$A:$D,4,FALSE)="NO","Reservado",LEFT(VLOOKUP($A394,COMPRADORES!$A:$D,2,FALSE),3)&amp;"***"&amp;IF(TRIM(MID(VLOOKUP($A394,COMPRADORES!$A:$D,2,FALSE)&amp;" ",FIND(" ",VLOOKUP($A394,COMPRADORES!$A:$D,2,FALSE)&amp;" ")+1,99))="",""," "&amp;LEFT(TRIM(MID(VLOOKUP($A394,COMPRADORES!$A:$D,2,FALSE)&amp;" ",FIND(" ",VLOOKUP($A394,COMPRADORES!$A:$D,2,FALSE)&amp;" ")+1,99)),1)&amp;".")),""))</f>
        <v/>
      </c>
      <c r="F394" s="16">
        <f>IF($B394="PAGADO",MID("ABCDEFGHIJ",INT(VALUE($A394)/100)+1,1)&amp;"-"&amp;$A394,"")</f>
        <v/>
      </c>
      <c r="G394" s="16">
        <f>IF($B394="PAGADO","PAGADO",IF($B394="APARTADO",IF(NOT(ISNUMBER($C394)),"APARTADO",IF($C394&lt;1,"APARTADO",IF(NOW()-$C394&gt;1,"LIBRE","APARTADO"))),"LIBRE"))</f>
        <v/>
      </c>
      <c r="H394" s="15">
        <f>IF($G394&lt;&gt;"APARTADO","",IF(NOT(ISNUMBER($C394)),"FALTA LA HORA",IF($C394&lt;1,"FALTA LA FECHA",TEXT($C394+1,"dd/mm hh:mm"))))</f>
        <v/>
      </c>
    </row>
    <row r="395">
      <c r="A395" s="13" t="inlineStr">
        <is>
          <t>393</t>
        </is>
      </c>
      <c r="B395" t="inlineStr">
        <is>
          <t>LIBRE</t>
        </is>
      </c>
      <c r="C395" s="14" t="n"/>
      <c r="E395" s="15">
        <f>IF($G395&lt;&gt;"PAGADO","",IFERROR(IF(VLOOKUP($A395,COMPRADORES!$A:$D,4,FALSE)="NO","Reservado",LEFT(VLOOKUP($A395,COMPRADORES!$A:$D,2,FALSE),3)&amp;"***"&amp;IF(TRIM(MID(VLOOKUP($A395,COMPRADORES!$A:$D,2,FALSE)&amp;" ",FIND(" ",VLOOKUP($A395,COMPRADORES!$A:$D,2,FALSE)&amp;" ")+1,99))="",""," "&amp;LEFT(TRIM(MID(VLOOKUP($A395,COMPRADORES!$A:$D,2,FALSE)&amp;" ",FIND(" ",VLOOKUP($A395,COMPRADORES!$A:$D,2,FALSE)&amp;" ")+1,99)),1)&amp;".")),""))</f>
        <v/>
      </c>
      <c r="F395" s="16">
        <f>IF($B395="PAGADO",MID("ABCDEFGHIJ",INT(VALUE($A395)/100)+1,1)&amp;"-"&amp;$A395,"")</f>
        <v/>
      </c>
      <c r="G395" s="16">
        <f>IF($B395="PAGADO","PAGADO",IF($B395="APARTADO",IF(NOT(ISNUMBER($C395)),"APARTADO",IF($C395&lt;1,"APARTADO",IF(NOW()-$C395&gt;1,"LIBRE","APARTADO"))),"LIBRE"))</f>
        <v/>
      </c>
      <c r="H395" s="15">
        <f>IF($G395&lt;&gt;"APARTADO","",IF(NOT(ISNUMBER($C395)),"FALTA LA HORA",IF($C395&lt;1,"FALTA LA FECHA",TEXT($C395+1,"dd/mm hh:mm"))))</f>
        <v/>
      </c>
    </row>
    <row r="396">
      <c r="A396" s="13" t="inlineStr">
        <is>
          <t>394</t>
        </is>
      </c>
      <c r="B396" t="inlineStr">
        <is>
          <t>LIBRE</t>
        </is>
      </c>
      <c r="C396" s="14" t="n"/>
      <c r="E396" s="15">
        <f>IF($G396&lt;&gt;"PAGADO","",IFERROR(IF(VLOOKUP($A396,COMPRADORES!$A:$D,4,FALSE)="NO","Reservado",LEFT(VLOOKUP($A396,COMPRADORES!$A:$D,2,FALSE),3)&amp;"***"&amp;IF(TRIM(MID(VLOOKUP($A396,COMPRADORES!$A:$D,2,FALSE)&amp;" ",FIND(" ",VLOOKUP($A396,COMPRADORES!$A:$D,2,FALSE)&amp;" ")+1,99))="",""," "&amp;LEFT(TRIM(MID(VLOOKUP($A396,COMPRADORES!$A:$D,2,FALSE)&amp;" ",FIND(" ",VLOOKUP($A396,COMPRADORES!$A:$D,2,FALSE)&amp;" ")+1,99)),1)&amp;".")),""))</f>
        <v/>
      </c>
      <c r="F396" s="16">
        <f>IF($B396="PAGADO",MID("ABCDEFGHIJ",INT(VALUE($A396)/100)+1,1)&amp;"-"&amp;$A396,"")</f>
        <v/>
      </c>
      <c r="G396" s="16">
        <f>IF($B396="PAGADO","PAGADO",IF($B396="APARTADO",IF(NOT(ISNUMBER($C396)),"APARTADO",IF($C396&lt;1,"APARTADO",IF(NOW()-$C396&gt;1,"LIBRE","APARTADO"))),"LIBRE"))</f>
        <v/>
      </c>
      <c r="H396" s="15">
        <f>IF($G396&lt;&gt;"APARTADO","",IF(NOT(ISNUMBER($C396)),"FALTA LA HORA",IF($C396&lt;1,"FALTA LA FECHA",TEXT($C396+1,"dd/mm hh:mm"))))</f>
        <v/>
      </c>
    </row>
    <row r="397">
      <c r="A397" s="13" t="inlineStr">
        <is>
          <t>395</t>
        </is>
      </c>
      <c r="B397" t="inlineStr">
        <is>
          <t>LIBRE</t>
        </is>
      </c>
      <c r="C397" s="14" t="n"/>
      <c r="E397" s="15">
        <f>IF($G397&lt;&gt;"PAGADO","",IFERROR(IF(VLOOKUP($A397,COMPRADORES!$A:$D,4,FALSE)="NO","Reservado",LEFT(VLOOKUP($A397,COMPRADORES!$A:$D,2,FALSE),3)&amp;"***"&amp;IF(TRIM(MID(VLOOKUP($A397,COMPRADORES!$A:$D,2,FALSE)&amp;" ",FIND(" ",VLOOKUP($A397,COMPRADORES!$A:$D,2,FALSE)&amp;" ")+1,99))="",""," "&amp;LEFT(TRIM(MID(VLOOKUP($A397,COMPRADORES!$A:$D,2,FALSE)&amp;" ",FIND(" ",VLOOKUP($A397,COMPRADORES!$A:$D,2,FALSE)&amp;" ")+1,99)),1)&amp;".")),""))</f>
        <v/>
      </c>
      <c r="F397" s="16">
        <f>IF($B397="PAGADO",MID("ABCDEFGHIJ",INT(VALUE($A397)/100)+1,1)&amp;"-"&amp;$A397,"")</f>
        <v/>
      </c>
      <c r="G397" s="16">
        <f>IF($B397="PAGADO","PAGADO",IF($B397="APARTADO",IF(NOT(ISNUMBER($C397)),"APARTADO",IF($C397&lt;1,"APARTADO",IF(NOW()-$C397&gt;1,"LIBRE","APARTADO"))),"LIBRE"))</f>
        <v/>
      </c>
      <c r="H397" s="15">
        <f>IF($G397&lt;&gt;"APARTADO","",IF(NOT(ISNUMBER($C397)),"FALTA LA HORA",IF($C397&lt;1,"FALTA LA FECHA",TEXT($C397+1,"dd/mm hh:mm"))))</f>
        <v/>
      </c>
    </row>
    <row r="398">
      <c r="A398" s="13" t="inlineStr">
        <is>
          <t>396</t>
        </is>
      </c>
      <c r="B398" t="inlineStr">
        <is>
          <t>LIBRE</t>
        </is>
      </c>
      <c r="C398" s="14" t="n"/>
      <c r="E398" s="15">
        <f>IF($G398&lt;&gt;"PAGADO","",IFERROR(IF(VLOOKUP($A398,COMPRADORES!$A:$D,4,FALSE)="NO","Reservado",LEFT(VLOOKUP($A398,COMPRADORES!$A:$D,2,FALSE),3)&amp;"***"&amp;IF(TRIM(MID(VLOOKUP($A398,COMPRADORES!$A:$D,2,FALSE)&amp;" ",FIND(" ",VLOOKUP($A398,COMPRADORES!$A:$D,2,FALSE)&amp;" ")+1,99))="",""," "&amp;LEFT(TRIM(MID(VLOOKUP($A398,COMPRADORES!$A:$D,2,FALSE)&amp;" ",FIND(" ",VLOOKUP($A398,COMPRADORES!$A:$D,2,FALSE)&amp;" ")+1,99)),1)&amp;".")),""))</f>
        <v/>
      </c>
      <c r="F398" s="16">
        <f>IF($B398="PAGADO",MID("ABCDEFGHIJ",INT(VALUE($A398)/100)+1,1)&amp;"-"&amp;$A398,"")</f>
        <v/>
      </c>
      <c r="G398" s="16">
        <f>IF($B398="PAGADO","PAGADO",IF($B398="APARTADO",IF(NOT(ISNUMBER($C398)),"APARTADO",IF($C398&lt;1,"APARTADO",IF(NOW()-$C398&gt;1,"LIBRE","APARTADO"))),"LIBRE"))</f>
        <v/>
      </c>
      <c r="H398" s="15">
        <f>IF($G398&lt;&gt;"APARTADO","",IF(NOT(ISNUMBER($C398)),"FALTA LA HORA",IF($C398&lt;1,"FALTA LA FECHA",TEXT($C398+1,"dd/mm hh:mm"))))</f>
        <v/>
      </c>
    </row>
    <row r="399">
      <c r="A399" s="13" t="inlineStr">
        <is>
          <t>397</t>
        </is>
      </c>
      <c r="B399" t="inlineStr">
        <is>
          <t>LIBRE</t>
        </is>
      </c>
      <c r="C399" s="14" t="n"/>
      <c r="E399" s="15">
        <f>IF($G399&lt;&gt;"PAGADO","",IFERROR(IF(VLOOKUP($A399,COMPRADORES!$A:$D,4,FALSE)="NO","Reservado",LEFT(VLOOKUP($A399,COMPRADORES!$A:$D,2,FALSE),3)&amp;"***"&amp;IF(TRIM(MID(VLOOKUP($A399,COMPRADORES!$A:$D,2,FALSE)&amp;" ",FIND(" ",VLOOKUP($A399,COMPRADORES!$A:$D,2,FALSE)&amp;" ")+1,99))="",""," "&amp;LEFT(TRIM(MID(VLOOKUP($A399,COMPRADORES!$A:$D,2,FALSE)&amp;" ",FIND(" ",VLOOKUP($A399,COMPRADORES!$A:$D,2,FALSE)&amp;" ")+1,99)),1)&amp;".")),""))</f>
        <v/>
      </c>
      <c r="F399" s="16">
        <f>IF($B399="PAGADO",MID("ABCDEFGHIJ",INT(VALUE($A399)/100)+1,1)&amp;"-"&amp;$A399,"")</f>
        <v/>
      </c>
      <c r="G399" s="16">
        <f>IF($B399="PAGADO","PAGADO",IF($B399="APARTADO",IF(NOT(ISNUMBER($C399)),"APARTADO",IF($C399&lt;1,"APARTADO",IF(NOW()-$C399&gt;1,"LIBRE","APARTADO"))),"LIBRE"))</f>
        <v/>
      </c>
      <c r="H399" s="15">
        <f>IF($G399&lt;&gt;"APARTADO","",IF(NOT(ISNUMBER($C399)),"FALTA LA HORA",IF($C399&lt;1,"FALTA LA FECHA",TEXT($C399+1,"dd/mm hh:mm"))))</f>
        <v/>
      </c>
    </row>
    <row r="400">
      <c r="A400" s="13" t="inlineStr">
        <is>
          <t>398</t>
        </is>
      </c>
      <c r="B400" t="inlineStr">
        <is>
          <t>LIBRE</t>
        </is>
      </c>
      <c r="C400" s="14" t="n"/>
      <c r="E400" s="15">
        <f>IF($G400&lt;&gt;"PAGADO","",IFERROR(IF(VLOOKUP($A400,COMPRADORES!$A:$D,4,FALSE)="NO","Reservado",LEFT(VLOOKUP($A400,COMPRADORES!$A:$D,2,FALSE),3)&amp;"***"&amp;IF(TRIM(MID(VLOOKUP($A400,COMPRADORES!$A:$D,2,FALSE)&amp;" ",FIND(" ",VLOOKUP($A400,COMPRADORES!$A:$D,2,FALSE)&amp;" ")+1,99))="",""," "&amp;LEFT(TRIM(MID(VLOOKUP($A400,COMPRADORES!$A:$D,2,FALSE)&amp;" ",FIND(" ",VLOOKUP($A400,COMPRADORES!$A:$D,2,FALSE)&amp;" ")+1,99)),1)&amp;".")),""))</f>
        <v/>
      </c>
      <c r="F400" s="16">
        <f>IF($B400="PAGADO",MID("ABCDEFGHIJ",INT(VALUE($A400)/100)+1,1)&amp;"-"&amp;$A400,"")</f>
        <v/>
      </c>
      <c r="G400" s="16">
        <f>IF($B400="PAGADO","PAGADO",IF($B400="APARTADO",IF(NOT(ISNUMBER($C400)),"APARTADO",IF($C400&lt;1,"APARTADO",IF(NOW()-$C400&gt;1,"LIBRE","APARTADO"))),"LIBRE"))</f>
        <v/>
      </c>
      <c r="H400" s="15">
        <f>IF($G400&lt;&gt;"APARTADO","",IF(NOT(ISNUMBER($C400)),"FALTA LA HORA",IF($C400&lt;1,"FALTA LA FECHA",TEXT($C400+1,"dd/mm hh:mm"))))</f>
        <v/>
      </c>
    </row>
    <row r="401">
      <c r="A401" s="13" t="inlineStr">
        <is>
          <t>399</t>
        </is>
      </c>
      <c r="B401" t="inlineStr">
        <is>
          <t>LIBRE</t>
        </is>
      </c>
      <c r="C401" s="14" t="n"/>
      <c r="E401" s="15">
        <f>IF($G401&lt;&gt;"PAGADO","",IFERROR(IF(VLOOKUP($A401,COMPRADORES!$A:$D,4,FALSE)="NO","Reservado",LEFT(VLOOKUP($A401,COMPRADORES!$A:$D,2,FALSE),3)&amp;"***"&amp;IF(TRIM(MID(VLOOKUP($A401,COMPRADORES!$A:$D,2,FALSE)&amp;" ",FIND(" ",VLOOKUP($A401,COMPRADORES!$A:$D,2,FALSE)&amp;" ")+1,99))="",""," "&amp;LEFT(TRIM(MID(VLOOKUP($A401,COMPRADORES!$A:$D,2,FALSE)&amp;" ",FIND(" ",VLOOKUP($A401,COMPRADORES!$A:$D,2,FALSE)&amp;" ")+1,99)),1)&amp;".")),""))</f>
        <v/>
      </c>
      <c r="F401" s="16">
        <f>IF($B401="PAGADO",MID("ABCDEFGHIJ",INT(VALUE($A401)/100)+1,1)&amp;"-"&amp;$A401,"")</f>
        <v/>
      </c>
      <c r="G401" s="16">
        <f>IF($B401="PAGADO","PAGADO",IF($B401="APARTADO",IF(NOT(ISNUMBER($C401)),"APARTADO",IF($C401&lt;1,"APARTADO",IF(NOW()-$C401&gt;1,"LIBRE","APARTADO"))),"LIBRE"))</f>
        <v/>
      </c>
      <c r="H401" s="15">
        <f>IF($G401&lt;&gt;"APARTADO","",IF(NOT(ISNUMBER($C401)),"FALTA LA HORA",IF($C401&lt;1,"FALTA LA FECHA",TEXT($C401+1,"dd/mm hh:mm"))))</f>
        <v/>
      </c>
    </row>
    <row r="402">
      <c r="A402" s="13" t="inlineStr">
        <is>
          <t>400</t>
        </is>
      </c>
      <c r="B402" t="inlineStr">
        <is>
          <t>LIBRE</t>
        </is>
      </c>
      <c r="C402" s="14" t="n"/>
      <c r="E402" s="15">
        <f>IF($G402&lt;&gt;"PAGADO","",IFERROR(IF(VLOOKUP($A402,COMPRADORES!$A:$D,4,FALSE)="NO","Reservado",LEFT(VLOOKUP($A402,COMPRADORES!$A:$D,2,FALSE),3)&amp;"***"&amp;IF(TRIM(MID(VLOOKUP($A402,COMPRADORES!$A:$D,2,FALSE)&amp;" ",FIND(" ",VLOOKUP($A402,COMPRADORES!$A:$D,2,FALSE)&amp;" ")+1,99))="",""," "&amp;LEFT(TRIM(MID(VLOOKUP($A402,COMPRADORES!$A:$D,2,FALSE)&amp;" ",FIND(" ",VLOOKUP($A402,COMPRADORES!$A:$D,2,FALSE)&amp;" ")+1,99)),1)&amp;".")),""))</f>
        <v/>
      </c>
      <c r="F402" s="16">
        <f>IF($B402="PAGADO",MID("ABCDEFGHIJ",INT(VALUE($A402)/100)+1,1)&amp;"-"&amp;$A402,"")</f>
        <v/>
      </c>
      <c r="G402" s="16">
        <f>IF($B402="PAGADO","PAGADO",IF($B402="APARTADO",IF(NOT(ISNUMBER($C402)),"APARTADO",IF($C402&lt;1,"APARTADO",IF(NOW()-$C402&gt;1,"LIBRE","APARTADO"))),"LIBRE"))</f>
        <v/>
      </c>
      <c r="H402" s="15">
        <f>IF($G402&lt;&gt;"APARTADO","",IF(NOT(ISNUMBER($C402)),"FALTA LA HORA",IF($C402&lt;1,"FALTA LA FECHA",TEXT($C402+1,"dd/mm hh:mm"))))</f>
        <v/>
      </c>
    </row>
    <row r="403">
      <c r="A403" s="13" t="inlineStr">
        <is>
          <t>401</t>
        </is>
      </c>
      <c r="B403" t="inlineStr">
        <is>
          <t>LIBRE</t>
        </is>
      </c>
      <c r="C403" s="14" t="n"/>
      <c r="E403" s="15">
        <f>IF($G403&lt;&gt;"PAGADO","",IFERROR(IF(VLOOKUP($A403,COMPRADORES!$A:$D,4,FALSE)="NO","Reservado",LEFT(VLOOKUP($A403,COMPRADORES!$A:$D,2,FALSE),3)&amp;"***"&amp;IF(TRIM(MID(VLOOKUP($A403,COMPRADORES!$A:$D,2,FALSE)&amp;" ",FIND(" ",VLOOKUP($A403,COMPRADORES!$A:$D,2,FALSE)&amp;" ")+1,99))="",""," "&amp;LEFT(TRIM(MID(VLOOKUP($A403,COMPRADORES!$A:$D,2,FALSE)&amp;" ",FIND(" ",VLOOKUP($A403,COMPRADORES!$A:$D,2,FALSE)&amp;" ")+1,99)),1)&amp;".")),""))</f>
        <v/>
      </c>
      <c r="F403" s="16">
        <f>IF($B403="PAGADO",MID("ABCDEFGHIJ",INT(VALUE($A403)/100)+1,1)&amp;"-"&amp;$A403,"")</f>
        <v/>
      </c>
      <c r="G403" s="16">
        <f>IF($B403="PAGADO","PAGADO",IF($B403="APARTADO",IF(NOT(ISNUMBER($C403)),"APARTADO",IF($C403&lt;1,"APARTADO",IF(NOW()-$C403&gt;1,"LIBRE","APARTADO"))),"LIBRE"))</f>
        <v/>
      </c>
      <c r="H403" s="15">
        <f>IF($G403&lt;&gt;"APARTADO","",IF(NOT(ISNUMBER($C403)),"FALTA LA HORA",IF($C403&lt;1,"FALTA LA FECHA",TEXT($C403+1,"dd/mm hh:mm"))))</f>
        <v/>
      </c>
    </row>
    <row r="404">
      <c r="A404" s="13" t="inlineStr">
        <is>
          <t>402</t>
        </is>
      </c>
      <c r="B404" t="inlineStr">
        <is>
          <t>LIBRE</t>
        </is>
      </c>
      <c r="C404" s="14" t="n"/>
      <c r="E404" s="15">
        <f>IF($G404&lt;&gt;"PAGADO","",IFERROR(IF(VLOOKUP($A404,COMPRADORES!$A:$D,4,FALSE)="NO","Reservado",LEFT(VLOOKUP($A404,COMPRADORES!$A:$D,2,FALSE),3)&amp;"***"&amp;IF(TRIM(MID(VLOOKUP($A404,COMPRADORES!$A:$D,2,FALSE)&amp;" ",FIND(" ",VLOOKUP($A404,COMPRADORES!$A:$D,2,FALSE)&amp;" ")+1,99))="",""," "&amp;LEFT(TRIM(MID(VLOOKUP($A404,COMPRADORES!$A:$D,2,FALSE)&amp;" ",FIND(" ",VLOOKUP($A404,COMPRADORES!$A:$D,2,FALSE)&amp;" ")+1,99)),1)&amp;".")),""))</f>
        <v/>
      </c>
      <c r="F404" s="16">
        <f>IF($B404="PAGADO",MID("ABCDEFGHIJ",INT(VALUE($A404)/100)+1,1)&amp;"-"&amp;$A404,"")</f>
        <v/>
      </c>
      <c r="G404" s="16">
        <f>IF($B404="PAGADO","PAGADO",IF($B404="APARTADO",IF(NOT(ISNUMBER($C404)),"APARTADO",IF($C404&lt;1,"APARTADO",IF(NOW()-$C404&gt;1,"LIBRE","APARTADO"))),"LIBRE"))</f>
        <v/>
      </c>
      <c r="H404" s="15">
        <f>IF($G404&lt;&gt;"APARTADO","",IF(NOT(ISNUMBER($C404)),"FALTA LA HORA",IF($C404&lt;1,"FALTA LA FECHA",TEXT($C404+1,"dd/mm hh:mm"))))</f>
        <v/>
      </c>
    </row>
    <row r="405">
      <c r="A405" s="13" t="inlineStr">
        <is>
          <t>403</t>
        </is>
      </c>
      <c r="B405" t="inlineStr">
        <is>
          <t>LIBRE</t>
        </is>
      </c>
      <c r="C405" s="14" t="n"/>
      <c r="E405" s="15">
        <f>IF($G405&lt;&gt;"PAGADO","",IFERROR(IF(VLOOKUP($A405,COMPRADORES!$A:$D,4,FALSE)="NO","Reservado",LEFT(VLOOKUP($A405,COMPRADORES!$A:$D,2,FALSE),3)&amp;"***"&amp;IF(TRIM(MID(VLOOKUP($A405,COMPRADORES!$A:$D,2,FALSE)&amp;" ",FIND(" ",VLOOKUP($A405,COMPRADORES!$A:$D,2,FALSE)&amp;" ")+1,99))="",""," "&amp;LEFT(TRIM(MID(VLOOKUP($A405,COMPRADORES!$A:$D,2,FALSE)&amp;" ",FIND(" ",VLOOKUP($A405,COMPRADORES!$A:$D,2,FALSE)&amp;" ")+1,99)),1)&amp;".")),""))</f>
        <v/>
      </c>
      <c r="F405" s="16">
        <f>IF($B405="PAGADO",MID("ABCDEFGHIJ",INT(VALUE($A405)/100)+1,1)&amp;"-"&amp;$A405,"")</f>
        <v/>
      </c>
      <c r="G405" s="16">
        <f>IF($B405="PAGADO","PAGADO",IF($B405="APARTADO",IF(NOT(ISNUMBER($C405)),"APARTADO",IF($C405&lt;1,"APARTADO",IF(NOW()-$C405&gt;1,"LIBRE","APARTADO"))),"LIBRE"))</f>
        <v/>
      </c>
      <c r="H405" s="15">
        <f>IF($G405&lt;&gt;"APARTADO","",IF(NOT(ISNUMBER($C405)),"FALTA LA HORA",IF($C405&lt;1,"FALTA LA FECHA",TEXT($C405+1,"dd/mm hh:mm"))))</f>
        <v/>
      </c>
    </row>
    <row r="406">
      <c r="A406" s="13" t="inlineStr">
        <is>
          <t>404</t>
        </is>
      </c>
      <c r="B406" t="inlineStr">
        <is>
          <t>LIBRE</t>
        </is>
      </c>
      <c r="C406" s="14" t="n"/>
      <c r="E406" s="15">
        <f>IF($G406&lt;&gt;"PAGADO","",IFERROR(IF(VLOOKUP($A406,COMPRADORES!$A:$D,4,FALSE)="NO","Reservado",LEFT(VLOOKUP($A406,COMPRADORES!$A:$D,2,FALSE),3)&amp;"***"&amp;IF(TRIM(MID(VLOOKUP($A406,COMPRADORES!$A:$D,2,FALSE)&amp;" ",FIND(" ",VLOOKUP($A406,COMPRADORES!$A:$D,2,FALSE)&amp;" ")+1,99))="",""," "&amp;LEFT(TRIM(MID(VLOOKUP($A406,COMPRADORES!$A:$D,2,FALSE)&amp;" ",FIND(" ",VLOOKUP($A406,COMPRADORES!$A:$D,2,FALSE)&amp;" ")+1,99)),1)&amp;".")),""))</f>
        <v/>
      </c>
      <c r="F406" s="16">
        <f>IF($B406="PAGADO",MID("ABCDEFGHIJ",INT(VALUE($A406)/100)+1,1)&amp;"-"&amp;$A406,"")</f>
        <v/>
      </c>
      <c r="G406" s="16">
        <f>IF($B406="PAGADO","PAGADO",IF($B406="APARTADO",IF(NOT(ISNUMBER($C406)),"APARTADO",IF($C406&lt;1,"APARTADO",IF(NOW()-$C406&gt;1,"LIBRE","APARTADO"))),"LIBRE"))</f>
        <v/>
      </c>
      <c r="H406" s="15">
        <f>IF($G406&lt;&gt;"APARTADO","",IF(NOT(ISNUMBER($C406)),"FALTA LA HORA",IF($C406&lt;1,"FALTA LA FECHA",TEXT($C406+1,"dd/mm hh:mm"))))</f>
        <v/>
      </c>
    </row>
    <row r="407">
      <c r="A407" s="13" t="inlineStr">
        <is>
          <t>405</t>
        </is>
      </c>
      <c r="B407" t="inlineStr">
        <is>
          <t>LIBRE</t>
        </is>
      </c>
      <c r="C407" s="14" t="n"/>
      <c r="E407" s="15">
        <f>IF($G407&lt;&gt;"PAGADO","",IFERROR(IF(VLOOKUP($A407,COMPRADORES!$A:$D,4,FALSE)="NO","Reservado",LEFT(VLOOKUP($A407,COMPRADORES!$A:$D,2,FALSE),3)&amp;"***"&amp;IF(TRIM(MID(VLOOKUP($A407,COMPRADORES!$A:$D,2,FALSE)&amp;" ",FIND(" ",VLOOKUP($A407,COMPRADORES!$A:$D,2,FALSE)&amp;" ")+1,99))="",""," "&amp;LEFT(TRIM(MID(VLOOKUP($A407,COMPRADORES!$A:$D,2,FALSE)&amp;" ",FIND(" ",VLOOKUP($A407,COMPRADORES!$A:$D,2,FALSE)&amp;" ")+1,99)),1)&amp;".")),""))</f>
        <v/>
      </c>
      <c r="F407" s="16">
        <f>IF($B407="PAGADO",MID("ABCDEFGHIJ",INT(VALUE($A407)/100)+1,1)&amp;"-"&amp;$A407,"")</f>
        <v/>
      </c>
      <c r="G407" s="16">
        <f>IF($B407="PAGADO","PAGADO",IF($B407="APARTADO",IF(NOT(ISNUMBER($C407)),"APARTADO",IF($C407&lt;1,"APARTADO",IF(NOW()-$C407&gt;1,"LIBRE","APARTADO"))),"LIBRE"))</f>
        <v/>
      </c>
      <c r="H407" s="15">
        <f>IF($G407&lt;&gt;"APARTADO","",IF(NOT(ISNUMBER($C407)),"FALTA LA HORA",IF($C407&lt;1,"FALTA LA FECHA",TEXT($C407+1,"dd/mm hh:mm"))))</f>
        <v/>
      </c>
    </row>
    <row r="408">
      <c r="A408" s="13" t="inlineStr">
        <is>
          <t>406</t>
        </is>
      </c>
      <c r="B408" t="inlineStr">
        <is>
          <t>LIBRE</t>
        </is>
      </c>
      <c r="C408" s="14" t="n"/>
      <c r="E408" s="15">
        <f>IF($G408&lt;&gt;"PAGADO","",IFERROR(IF(VLOOKUP($A408,COMPRADORES!$A:$D,4,FALSE)="NO","Reservado",LEFT(VLOOKUP($A408,COMPRADORES!$A:$D,2,FALSE),3)&amp;"***"&amp;IF(TRIM(MID(VLOOKUP($A408,COMPRADORES!$A:$D,2,FALSE)&amp;" ",FIND(" ",VLOOKUP($A408,COMPRADORES!$A:$D,2,FALSE)&amp;" ")+1,99))="",""," "&amp;LEFT(TRIM(MID(VLOOKUP($A408,COMPRADORES!$A:$D,2,FALSE)&amp;" ",FIND(" ",VLOOKUP($A408,COMPRADORES!$A:$D,2,FALSE)&amp;" ")+1,99)),1)&amp;".")),""))</f>
        <v/>
      </c>
      <c r="F408" s="16">
        <f>IF($B408="PAGADO",MID("ABCDEFGHIJ",INT(VALUE($A408)/100)+1,1)&amp;"-"&amp;$A408,"")</f>
        <v/>
      </c>
      <c r="G408" s="16">
        <f>IF($B408="PAGADO","PAGADO",IF($B408="APARTADO",IF(NOT(ISNUMBER($C408)),"APARTADO",IF($C408&lt;1,"APARTADO",IF(NOW()-$C408&gt;1,"LIBRE","APARTADO"))),"LIBRE"))</f>
        <v/>
      </c>
      <c r="H408" s="15">
        <f>IF($G408&lt;&gt;"APARTADO","",IF(NOT(ISNUMBER($C408)),"FALTA LA HORA",IF($C408&lt;1,"FALTA LA FECHA",TEXT($C408+1,"dd/mm hh:mm"))))</f>
        <v/>
      </c>
    </row>
    <row r="409">
      <c r="A409" s="13" t="inlineStr">
        <is>
          <t>407</t>
        </is>
      </c>
      <c r="B409" t="inlineStr">
        <is>
          <t>LIBRE</t>
        </is>
      </c>
      <c r="C409" s="14" t="n"/>
      <c r="E409" s="15">
        <f>IF($G409&lt;&gt;"PAGADO","",IFERROR(IF(VLOOKUP($A409,COMPRADORES!$A:$D,4,FALSE)="NO","Reservado",LEFT(VLOOKUP($A409,COMPRADORES!$A:$D,2,FALSE),3)&amp;"***"&amp;IF(TRIM(MID(VLOOKUP($A409,COMPRADORES!$A:$D,2,FALSE)&amp;" ",FIND(" ",VLOOKUP($A409,COMPRADORES!$A:$D,2,FALSE)&amp;" ")+1,99))="",""," "&amp;LEFT(TRIM(MID(VLOOKUP($A409,COMPRADORES!$A:$D,2,FALSE)&amp;" ",FIND(" ",VLOOKUP($A409,COMPRADORES!$A:$D,2,FALSE)&amp;" ")+1,99)),1)&amp;".")),""))</f>
        <v/>
      </c>
      <c r="F409" s="16">
        <f>IF($B409="PAGADO",MID("ABCDEFGHIJ",INT(VALUE($A409)/100)+1,1)&amp;"-"&amp;$A409,"")</f>
        <v/>
      </c>
      <c r="G409" s="16">
        <f>IF($B409="PAGADO","PAGADO",IF($B409="APARTADO",IF(NOT(ISNUMBER($C409)),"APARTADO",IF($C409&lt;1,"APARTADO",IF(NOW()-$C409&gt;1,"LIBRE","APARTADO"))),"LIBRE"))</f>
        <v/>
      </c>
      <c r="H409" s="15">
        <f>IF($G409&lt;&gt;"APARTADO","",IF(NOT(ISNUMBER($C409)),"FALTA LA HORA",IF($C409&lt;1,"FALTA LA FECHA",TEXT($C409+1,"dd/mm hh:mm"))))</f>
        <v/>
      </c>
    </row>
    <row r="410">
      <c r="A410" s="13" t="inlineStr">
        <is>
          <t>408</t>
        </is>
      </c>
      <c r="B410" t="inlineStr">
        <is>
          <t>LIBRE</t>
        </is>
      </c>
      <c r="C410" s="14" t="n"/>
      <c r="E410" s="15">
        <f>IF($G410&lt;&gt;"PAGADO","",IFERROR(IF(VLOOKUP($A410,COMPRADORES!$A:$D,4,FALSE)="NO","Reservado",LEFT(VLOOKUP($A410,COMPRADORES!$A:$D,2,FALSE),3)&amp;"***"&amp;IF(TRIM(MID(VLOOKUP($A410,COMPRADORES!$A:$D,2,FALSE)&amp;" ",FIND(" ",VLOOKUP($A410,COMPRADORES!$A:$D,2,FALSE)&amp;" ")+1,99))="",""," "&amp;LEFT(TRIM(MID(VLOOKUP($A410,COMPRADORES!$A:$D,2,FALSE)&amp;" ",FIND(" ",VLOOKUP($A410,COMPRADORES!$A:$D,2,FALSE)&amp;" ")+1,99)),1)&amp;".")),""))</f>
        <v/>
      </c>
      <c r="F410" s="16">
        <f>IF($B410="PAGADO",MID("ABCDEFGHIJ",INT(VALUE($A410)/100)+1,1)&amp;"-"&amp;$A410,"")</f>
        <v/>
      </c>
      <c r="G410" s="16">
        <f>IF($B410="PAGADO","PAGADO",IF($B410="APARTADO",IF(NOT(ISNUMBER($C410)),"APARTADO",IF($C410&lt;1,"APARTADO",IF(NOW()-$C410&gt;1,"LIBRE","APARTADO"))),"LIBRE"))</f>
        <v/>
      </c>
      <c r="H410" s="15">
        <f>IF($G410&lt;&gt;"APARTADO","",IF(NOT(ISNUMBER($C410)),"FALTA LA HORA",IF($C410&lt;1,"FALTA LA FECHA",TEXT($C410+1,"dd/mm hh:mm"))))</f>
        <v/>
      </c>
    </row>
    <row r="411">
      <c r="A411" s="13" t="inlineStr">
        <is>
          <t>409</t>
        </is>
      </c>
      <c r="B411" t="inlineStr">
        <is>
          <t>LIBRE</t>
        </is>
      </c>
      <c r="C411" s="14" t="n"/>
      <c r="E411" s="15">
        <f>IF($G411&lt;&gt;"PAGADO","",IFERROR(IF(VLOOKUP($A411,COMPRADORES!$A:$D,4,FALSE)="NO","Reservado",LEFT(VLOOKUP($A411,COMPRADORES!$A:$D,2,FALSE),3)&amp;"***"&amp;IF(TRIM(MID(VLOOKUP($A411,COMPRADORES!$A:$D,2,FALSE)&amp;" ",FIND(" ",VLOOKUP($A411,COMPRADORES!$A:$D,2,FALSE)&amp;" ")+1,99))="",""," "&amp;LEFT(TRIM(MID(VLOOKUP($A411,COMPRADORES!$A:$D,2,FALSE)&amp;" ",FIND(" ",VLOOKUP($A411,COMPRADORES!$A:$D,2,FALSE)&amp;" ")+1,99)),1)&amp;".")),""))</f>
        <v/>
      </c>
      <c r="F411" s="16">
        <f>IF($B411="PAGADO",MID("ABCDEFGHIJ",INT(VALUE($A411)/100)+1,1)&amp;"-"&amp;$A411,"")</f>
        <v/>
      </c>
      <c r="G411" s="16">
        <f>IF($B411="PAGADO","PAGADO",IF($B411="APARTADO",IF(NOT(ISNUMBER($C411)),"APARTADO",IF($C411&lt;1,"APARTADO",IF(NOW()-$C411&gt;1,"LIBRE","APARTADO"))),"LIBRE"))</f>
        <v/>
      </c>
      <c r="H411" s="15">
        <f>IF($G411&lt;&gt;"APARTADO","",IF(NOT(ISNUMBER($C411)),"FALTA LA HORA",IF($C411&lt;1,"FALTA LA FECHA",TEXT($C411+1,"dd/mm hh:mm"))))</f>
        <v/>
      </c>
    </row>
    <row r="412">
      <c r="A412" s="13" t="inlineStr">
        <is>
          <t>410</t>
        </is>
      </c>
      <c r="B412" t="inlineStr">
        <is>
          <t>LIBRE</t>
        </is>
      </c>
      <c r="C412" s="14" t="n"/>
      <c r="E412" s="15">
        <f>IF($G412&lt;&gt;"PAGADO","",IFERROR(IF(VLOOKUP($A412,COMPRADORES!$A:$D,4,FALSE)="NO","Reservado",LEFT(VLOOKUP($A412,COMPRADORES!$A:$D,2,FALSE),3)&amp;"***"&amp;IF(TRIM(MID(VLOOKUP($A412,COMPRADORES!$A:$D,2,FALSE)&amp;" ",FIND(" ",VLOOKUP($A412,COMPRADORES!$A:$D,2,FALSE)&amp;" ")+1,99))="",""," "&amp;LEFT(TRIM(MID(VLOOKUP($A412,COMPRADORES!$A:$D,2,FALSE)&amp;" ",FIND(" ",VLOOKUP($A412,COMPRADORES!$A:$D,2,FALSE)&amp;" ")+1,99)),1)&amp;".")),""))</f>
        <v/>
      </c>
      <c r="F412" s="16">
        <f>IF($B412="PAGADO",MID("ABCDEFGHIJ",INT(VALUE($A412)/100)+1,1)&amp;"-"&amp;$A412,"")</f>
        <v/>
      </c>
      <c r="G412" s="16">
        <f>IF($B412="PAGADO","PAGADO",IF($B412="APARTADO",IF(NOT(ISNUMBER($C412)),"APARTADO",IF($C412&lt;1,"APARTADO",IF(NOW()-$C412&gt;1,"LIBRE","APARTADO"))),"LIBRE"))</f>
        <v/>
      </c>
      <c r="H412" s="15">
        <f>IF($G412&lt;&gt;"APARTADO","",IF(NOT(ISNUMBER($C412)),"FALTA LA HORA",IF($C412&lt;1,"FALTA LA FECHA",TEXT($C412+1,"dd/mm hh:mm"))))</f>
        <v/>
      </c>
    </row>
    <row r="413">
      <c r="A413" s="13" t="inlineStr">
        <is>
          <t>411</t>
        </is>
      </c>
      <c r="B413" t="inlineStr">
        <is>
          <t>LIBRE</t>
        </is>
      </c>
      <c r="C413" s="14" t="n"/>
      <c r="E413" s="15">
        <f>IF($G413&lt;&gt;"PAGADO","",IFERROR(IF(VLOOKUP($A413,COMPRADORES!$A:$D,4,FALSE)="NO","Reservado",LEFT(VLOOKUP($A413,COMPRADORES!$A:$D,2,FALSE),3)&amp;"***"&amp;IF(TRIM(MID(VLOOKUP($A413,COMPRADORES!$A:$D,2,FALSE)&amp;" ",FIND(" ",VLOOKUP($A413,COMPRADORES!$A:$D,2,FALSE)&amp;" ")+1,99))="",""," "&amp;LEFT(TRIM(MID(VLOOKUP($A413,COMPRADORES!$A:$D,2,FALSE)&amp;" ",FIND(" ",VLOOKUP($A413,COMPRADORES!$A:$D,2,FALSE)&amp;" ")+1,99)),1)&amp;".")),""))</f>
        <v/>
      </c>
      <c r="F413" s="16">
        <f>IF($B413="PAGADO",MID("ABCDEFGHIJ",INT(VALUE($A413)/100)+1,1)&amp;"-"&amp;$A413,"")</f>
        <v/>
      </c>
      <c r="G413" s="16">
        <f>IF($B413="PAGADO","PAGADO",IF($B413="APARTADO",IF(NOT(ISNUMBER($C413)),"APARTADO",IF($C413&lt;1,"APARTADO",IF(NOW()-$C413&gt;1,"LIBRE","APARTADO"))),"LIBRE"))</f>
        <v/>
      </c>
      <c r="H413" s="15">
        <f>IF($G413&lt;&gt;"APARTADO","",IF(NOT(ISNUMBER($C413)),"FALTA LA HORA",IF($C413&lt;1,"FALTA LA FECHA",TEXT($C413+1,"dd/mm hh:mm"))))</f>
        <v/>
      </c>
    </row>
    <row r="414">
      <c r="A414" s="13" t="inlineStr">
        <is>
          <t>412</t>
        </is>
      </c>
      <c r="B414" t="inlineStr">
        <is>
          <t>LIBRE</t>
        </is>
      </c>
      <c r="C414" s="14" t="n"/>
      <c r="E414" s="15">
        <f>IF($G414&lt;&gt;"PAGADO","",IFERROR(IF(VLOOKUP($A414,COMPRADORES!$A:$D,4,FALSE)="NO","Reservado",LEFT(VLOOKUP($A414,COMPRADORES!$A:$D,2,FALSE),3)&amp;"***"&amp;IF(TRIM(MID(VLOOKUP($A414,COMPRADORES!$A:$D,2,FALSE)&amp;" ",FIND(" ",VLOOKUP($A414,COMPRADORES!$A:$D,2,FALSE)&amp;" ")+1,99))="",""," "&amp;LEFT(TRIM(MID(VLOOKUP($A414,COMPRADORES!$A:$D,2,FALSE)&amp;" ",FIND(" ",VLOOKUP($A414,COMPRADORES!$A:$D,2,FALSE)&amp;" ")+1,99)),1)&amp;".")),""))</f>
        <v/>
      </c>
      <c r="F414" s="16">
        <f>IF($B414="PAGADO",MID("ABCDEFGHIJ",INT(VALUE($A414)/100)+1,1)&amp;"-"&amp;$A414,"")</f>
        <v/>
      </c>
      <c r="G414" s="16">
        <f>IF($B414="PAGADO","PAGADO",IF($B414="APARTADO",IF(NOT(ISNUMBER($C414)),"APARTADO",IF($C414&lt;1,"APARTADO",IF(NOW()-$C414&gt;1,"LIBRE","APARTADO"))),"LIBRE"))</f>
        <v/>
      </c>
      <c r="H414" s="15">
        <f>IF($G414&lt;&gt;"APARTADO","",IF(NOT(ISNUMBER($C414)),"FALTA LA HORA",IF($C414&lt;1,"FALTA LA FECHA",TEXT($C414+1,"dd/mm hh:mm"))))</f>
        <v/>
      </c>
    </row>
    <row r="415">
      <c r="A415" s="13" t="inlineStr">
        <is>
          <t>413</t>
        </is>
      </c>
      <c r="B415" t="inlineStr">
        <is>
          <t>LIBRE</t>
        </is>
      </c>
      <c r="C415" s="14" t="n"/>
      <c r="E415" s="15">
        <f>IF($G415&lt;&gt;"PAGADO","",IFERROR(IF(VLOOKUP($A415,COMPRADORES!$A:$D,4,FALSE)="NO","Reservado",LEFT(VLOOKUP($A415,COMPRADORES!$A:$D,2,FALSE),3)&amp;"***"&amp;IF(TRIM(MID(VLOOKUP($A415,COMPRADORES!$A:$D,2,FALSE)&amp;" ",FIND(" ",VLOOKUP($A415,COMPRADORES!$A:$D,2,FALSE)&amp;" ")+1,99))="",""," "&amp;LEFT(TRIM(MID(VLOOKUP($A415,COMPRADORES!$A:$D,2,FALSE)&amp;" ",FIND(" ",VLOOKUP($A415,COMPRADORES!$A:$D,2,FALSE)&amp;" ")+1,99)),1)&amp;".")),""))</f>
        <v/>
      </c>
      <c r="F415" s="16">
        <f>IF($B415="PAGADO",MID("ABCDEFGHIJ",INT(VALUE($A415)/100)+1,1)&amp;"-"&amp;$A415,"")</f>
        <v/>
      </c>
      <c r="G415" s="16">
        <f>IF($B415="PAGADO","PAGADO",IF($B415="APARTADO",IF(NOT(ISNUMBER($C415)),"APARTADO",IF($C415&lt;1,"APARTADO",IF(NOW()-$C415&gt;1,"LIBRE","APARTADO"))),"LIBRE"))</f>
        <v/>
      </c>
      <c r="H415" s="15">
        <f>IF($G415&lt;&gt;"APARTADO","",IF(NOT(ISNUMBER($C415)),"FALTA LA HORA",IF($C415&lt;1,"FALTA LA FECHA",TEXT($C415+1,"dd/mm hh:mm"))))</f>
        <v/>
      </c>
    </row>
    <row r="416">
      <c r="A416" s="13" t="inlineStr">
        <is>
          <t>414</t>
        </is>
      </c>
      <c r="B416" t="inlineStr">
        <is>
          <t>LIBRE</t>
        </is>
      </c>
      <c r="C416" s="14" t="n"/>
      <c r="E416" s="15">
        <f>IF($G416&lt;&gt;"PAGADO","",IFERROR(IF(VLOOKUP($A416,COMPRADORES!$A:$D,4,FALSE)="NO","Reservado",LEFT(VLOOKUP($A416,COMPRADORES!$A:$D,2,FALSE),3)&amp;"***"&amp;IF(TRIM(MID(VLOOKUP($A416,COMPRADORES!$A:$D,2,FALSE)&amp;" ",FIND(" ",VLOOKUP($A416,COMPRADORES!$A:$D,2,FALSE)&amp;" ")+1,99))="",""," "&amp;LEFT(TRIM(MID(VLOOKUP($A416,COMPRADORES!$A:$D,2,FALSE)&amp;" ",FIND(" ",VLOOKUP($A416,COMPRADORES!$A:$D,2,FALSE)&amp;" ")+1,99)),1)&amp;".")),""))</f>
        <v/>
      </c>
      <c r="F416" s="16">
        <f>IF($B416="PAGADO",MID("ABCDEFGHIJ",INT(VALUE($A416)/100)+1,1)&amp;"-"&amp;$A416,"")</f>
        <v/>
      </c>
      <c r="G416" s="16">
        <f>IF($B416="PAGADO","PAGADO",IF($B416="APARTADO",IF(NOT(ISNUMBER($C416)),"APARTADO",IF($C416&lt;1,"APARTADO",IF(NOW()-$C416&gt;1,"LIBRE","APARTADO"))),"LIBRE"))</f>
        <v/>
      </c>
      <c r="H416" s="15">
        <f>IF($G416&lt;&gt;"APARTADO","",IF(NOT(ISNUMBER($C416)),"FALTA LA HORA",IF($C416&lt;1,"FALTA LA FECHA",TEXT($C416+1,"dd/mm hh:mm"))))</f>
        <v/>
      </c>
    </row>
    <row r="417">
      <c r="A417" s="13" t="inlineStr">
        <is>
          <t>415</t>
        </is>
      </c>
      <c r="B417" t="inlineStr">
        <is>
          <t>LIBRE</t>
        </is>
      </c>
      <c r="C417" s="14" t="n"/>
      <c r="E417" s="15">
        <f>IF($G417&lt;&gt;"PAGADO","",IFERROR(IF(VLOOKUP($A417,COMPRADORES!$A:$D,4,FALSE)="NO","Reservado",LEFT(VLOOKUP($A417,COMPRADORES!$A:$D,2,FALSE),3)&amp;"***"&amp;IF(TRIM(MID(VLOOKUP($A417,COMPRADORES!$A:$D,2,FALSE)&amp;" ",FIND(" ",VLOOKUP($A417,COMPRADORES!$A:$D,2,FALSE)&amp;" ")+1,99))="",""," "&amp;LEFT(TRIM(MID(VLOOKUP($A417,COMPRADORES!$A:$D,2,FALSE)&amp;" ",FIND(" ",VLOOKUP($A417,COMPRADORES!$A:$D,2,FALSE)&amp;" ")+1,99)),1)&amp;".")),""))</f>
        <v/>
      </c>
      <c r="F417" s="16">
        <f>IF($B417="PAGADO",MID("ABCDEFGHIJ",INT(VALUE($A417)/100)+1,1)&amp;"-"&amp;$A417,"")</f>
        <v/>
      </c>
      <c r="G417" s="16">
        <f>IF($B417="PAGADO","PAGADO",IF($B417="APARTADO",IF(NOT(ISNUMBER($C417)),"APARTADO",IF($C417&lt;1,"APARTADO",IF(NOW()-$C417&gt;1,"LIBRE","APARTADO"))),"LIBRE"))</f>
        <v/>
      </c>
      <c r="H417" s="15">
        <f>IF($G417&lt;&gt;"APARTADO","",IF(NOT(ISNUMBER($C417)),"FALTA LA HORA",IF($C417&lt;1,"FALTA LA FECHA",TEXT($C417+1,"dd/mm hh:mm"))))</f>
        <v/>
      </c>
    </row>
    <row r="418">
      <c r="A418" s="13" t="inlineStr">
        <is>
          <t>416</t>
        </is>
      </c>
      <c r="B418" t="inlineStr">
        <is>
          <t>LIBRE</t>
        </is>
      </c>
      <c r="C418" s="14" t="n"/>
      <c r="E418" s="15">
        <f>IF($G418&lt;&gt;"PAGADO","",IFERROR(IF(VLOOKUP($A418,COMPRADORES!$A:$D,4,FALSE)="NO","Reservado",LEFT(VLOOKUP($A418,COMPRADORES!$A:$D,2,FALSE),3)&amp;"***"&amp;IF(TRIM(MID(VLOOKUP($A418,COMPRADORES!$A:$D,2,FALSE)&amp;" ",FIND(" ",VLOOKUP($A418,COMPRADORES!$A:$D,2,FALSE)&amp;" ")+1,99))="",""," "&amp;LEFT(TRIM(MID(VLOOKUP($A418,COMPRADORES!$A:$D,2,FALSE)&amp;" ",FIND(" ",VLOOKUP($A418,COMPRADORES!$A:$D,2,FALSE)&amp;" ")+1,99)),1)&amp;".")),""))</f>
        <v/>
      </c>
      <c r="F418" s="16">
        <f>IF($B418="PAGADO",MID("ABCDEFGHIJ",INT(VALUE($A418)/100)+1,1)&amp;"-"&amp;$A418,"")</f>
        <v/>
      </c>
      <c r="G418" s="16">
        <f>IF($B418="PAGADO","PAGADO",IF($B418="APARTADO",IF(NOT(ISNUMBER($C418)),"APARTADO",IF($C418&lt;1,"APARTADO",IF(NOW()-$C418&gt;1,"LIBRE","APARTADO"))),"LIBRE"))</f>
        <v/>
      </c>
      <c r="H418" s="15">
        <f>IF($G418&lt;&gt;"APARTADO","",IF(NOT(ISNUMBER($C418)),"FALTA LA HORA",IF($C418&lt;1,"FALTA LA FECHA",TEXT($C418+1,"dd/mm hh:mm"))))</f>
        <v/>
      </c>
    </row>
    <row r="419">
      <c r="A419" s="13" t="inlineStr">
        <is>
          <t>417</t>
        </is>
      </c>
      <c r="B419" t="inlineStr">
        <is>
          <t>LIBRE</t>
        </is>
      </c>
      <c r="C419" s="14" t="n"/>
      <c r="E419" s="15">
        <f>IF($G419&lt;&gt;"PAGADO","",IFERROR(IF(VLOOKUP($A419,COMPRADORES!$A:$D,4,FALSE)="NO","Reservado",LEFT(VLOOKUP($A419,COMPRADORES!$A:$D,2,FALSE),3)&amp;"***"&amp;IF(TRIM(MID(VLOOKUP($A419,COMPRADORES!$A:$D,2,FALSE)&amp;" ",FIND(" ",VLOOKUP($A419,COMPRADORES!$A:$D,2,FALSE)&amp;" ")+1,99))="",""," "&amp;LEFT(TRIM(MID(VLOOKUP($A419,COMPRADORES!$A:$D,2,FALSE)&amp;" ",FIND(" ",VLOOKUP($A419,COMPRADORES!$A:$D,2,FALSE)&amp;" ")+1,99)),1)&amp;".")),""))</f>
        <v/>
      </c>
      <c r="F419" s="16">
        <f>IF($B419="PAGADO",MID("ABCDEFGHIJ",INT(VALUE($A419)/100)+1,1)&amp;"-"&amp;$A419,"")</f>
        <v/>
      </c>
      <c r="G419" s="16">
        <f>IF($B419="PAGADO","PAGADO",IF($B419="APARTADO",IF(NOT(ISNUMBER($C419)),"APARTADO",IF($C419&lt;1,"APARTADO",IF(NOW()-$C419&gt;1,"LIBRE","APARTADO"))),"LIBRE"))</f>
        <v/>
      </c>
      <c r="H419" s="15">
        <f>IF($G419&lt;&gt;"APARTADO","",IF(NOT(ISNUMBER($C419)),"FALTA LA HORA",IF($C419&lt;1,"FALTA LA FECHA",TEXT($C419+1,"dd/mm hh:mm"))))</f>
        <v/>
      </c>
    </row>
    <row r="420">
      <c r="A420" s="13" t="inlineStr">
        <is>
          <t>418</t>
        </is>
      </c>
      <c r="B420" t="inlineStr">
        <is>
          <t>LIBRE</t>
        </is>
      </c>
      <c r="C420" s="14" t="n"/>
      <c r="E420" s="15">
        <f>IF($G420&lt;&gt;"PAGADO","",IFERROR(IF(VLOOKUP($A420,COMPRADORES!$A:$D,4,FALSE)="NO","Reservado",LEFT(VLOOKUP($A420,COMPRADORES!$A:$D,2,FALSE),3)&amp;"***"&amp;IF(TRIM(MID(VLOOKUP($A420,COMPRADORES!$A:$D,2,FALSE)&amp;" ",FIND(" ",VLOOKUP($A420,COMPRADORES!$A:$D,2,FALSE)&amp;" ")+1,99))="",""," "&amp;LEFT(TRIM(MID(VLOOKUP($A420,COMPRADORES!$A:$D,2,FALSE)&amp;" ",FIND(" ",VLOOKUP($A420,COMPRADORES!$A:$D,2,FALSE)&amp;" ")+1,99)),1)&amp;".")),""))</f>
        <v/>
      </c>
      <c r="F420" s="16">
        <f>IF($B420="PAGADO",MID("ABCDEFGHIJ",INT(VALUE($A420)/100)+1,1)&amp;"-"&amp;$A420,"")</f>
        <v/>
      </c>
      <c r="G420" s="16">
        <f>IF($B420="PAGADO","PAGADO",IF($B420="APARTADO",IF(NOT(ISNUMBER($C420)),"APARTADO",IF($C420&lt;1,"APARTADO",IF(NOW()-$C420&gt;1,"LIBRE","APARTADO"))),"LIBRE"))</f>
        <v/>
      </c>
      <c r="H420" s="15">
        <f>IF($G420&lt;&gt;"APARTADO","",IF(NOT(ISNUMBER($C420)),"FALTA LA HORA",IF($C420&lt;1,"FALTA LA FECHA",TEXT($C420+1,"dd/mm hh:mm"))))</f>
        <v/>
      </c>
    </row>
    <row r="421">
      <c r="A421" s="13" t="inlineStr">
        <is>
          <t>419</t>
        </is>
      </c>
      <c r="B421" t="inlineStr">
        <is>
          <t>LIBRE</t>
        </is>
      </c>
      <c r="C421" s="14" t="n"/>
      <c r="E421" s="15">
        <f>IF($G421&lt;&gt;"PAGADO","",IFERROR(IF(VLOOKUP($A421,COMPRADORES!$A:$D,4,FALSE)="NO","Reservado",LEFT(VLOOKUP($A421,COMPRADORES!$A:$D,2,FALSE),3)&amp;"***"&amp;IF(TRIM(MID(VLOOKUP($A421,COMPRADORES!$A:$D,2,FALSE)&amp;" ",FIND(" ",VLOOKUP($A421,COMPRADORES!$A:$D,2,FALSE)&amp;" ")+1,99))="",""," "&amp;LEFT(TRIM(MID(VLOOKUP($A421,COMPRADORES!$A:$D,2,FALSE)&amp;" ",FIND(" ",VLOOKUP($A421,COMPRADORES!$A:$D,2,FALSE)&amp;" ")+1,99)),1)&amp;".")),""))</f>
        <v/>
      </c>
      <c r="F421" s="16">
        <f>IF($B421="PAGADO",MID("ABCDEFGHIJ",INT(VALUE($A421)/100)+1,1)&amp;"-"&amp;$A421,"")</f>
        <v/>
      </c>
      <c r="G421" s="16">
        <f>IF($B421="PAGADO","PAGADO",IF($B421="APARTADO",IF(NOT(ISNUMBER($C421)),"APARTADO",IF($C421&lt;1,"APARTADO",IF(NOW()-$C421&gt;1,"LIBRE","APARTADO"))),"LIBRE"))</f>
        <v/>
      </c>
      <c r="H421" s="15">
        <f>IF($G421&lt;&gt;"APARTADO","",IF(NOT(ISNUMBER($C421)),"FALTA LA HORA",IF($C421&lt;1,"FALTA LA FECHA",TEXT($C421+1,"dd/mm hh:mm"))))</f>
        <v/>
      </c>
    </row>
    <row r="422">
      <c r="A422" s="13" t="inlineStr">
        <is>
          <t>420</t>
        </is>
      </c>
      <c r="B422" t="inlineStr">
        <is>
          <t>LIBRE</t>
        </is>
      </c>
      <c r="C422" s="14" t="n"/>
      <c r="E422" s="15">
        <f>IF($G422&lt;&gt;"PAGADO","",IFERROR(IF(VLOOKUP($A422,COMPRADORES!$A:$D,4,FALSE)="NO","Reservado",LEFT(VLOOKUP($A422,COMPRADORES!$A:$D,2,FALSE),3)&amp;"***"&amp;IF(TRIM(MID(VLOOKUP($A422,COMPRADORES!$A:$D,2,FALSE)&amp;" ",FIND(" ",VLOOKUP($A422,COMPRADORES!$A:$D,2,FALSE)&amp;" ")+1,99))="",""," "&amp;LEFT(TRIM(MID(VLOOKUP($A422,COMPRADORES!$A:$D,2,FALSE)&amp;" ",FIND(" ",VLOOKUP($A422,COMPRADORES!$A:$D,2,FALSE)&amp;" ")+1,99)),1)&amp;".")),""))</f>
        <v/>
      </c>
      <c r="F422" s="16">
        <f>IF($B422="PAGADO",MID("ABCDEFGHIJ",INT(VALUE($A422)/100)+1,1)&amp;"-"&amp;$A422,"")</f>
        <v/>
      </c>
      <c r="G422" s="16">
        <f>IF($B422="PAGADO","PAGADO",IF($B422="APARTADO",IF(NOT(ISNUMBER($C422)),"APARTADO",IF($C422&lt;1,"APARTADO",IF(NOW()-$C422&gt;1,"LIBRE","APARTADO"))),"LIBRE"))</f>
        <v/>
      </c>
      <c r="H422" s="15">
        <f>IF($G422&lt;&gt;"APARTADO","",IF(NOT(ISNUMBER($C422)),"FALTA LA HORA",IF($C422&lt;1,"FALTA LA FECHA",TEXT($C422+1,"dd/mm hh:mm"))))</f>
        <v/>
      </c>
    </row>
    <row r="423">
      <c r="A423" s="13" t="inlineStr">
        <is>
          <t>421</t>
        </is>
      </c>
      <c r="B423" t="inlineStr">
        <is>
          <t>LIBRE</t>
        </is>
      </c>
      <c r="C423" s="14" t="n"/>
      <c r="E423" s="15">
        <f>IF($G423&lt;&gt;"PAGADO","",IFERROR(IF(VLOOKUP($A423,COMPRADORES!$A:$D,4,FALSE)="NO","Reservado",LEFT(VLOOKUP($A423,COMPRADORES!$A:$D,2,FALSE),3)&amp;"***"&amp;IF(TRIM(MID(VLOOKUP($A423,COMPRADORES!$A:$D,2,FALSE)&amp;" ",FIND(" ",VLOOKUP($A423,COMPRADORES!$A:$D,2,FALSE)&amp;" ")+1,99))="",""," "&amp;LEFT(TRIM(MID(VLOOKUP($A423,COMPRADORES!$A:$D,2,FALSE)&amp;" ",FIND(" ",VLOOKUP($A423,COMPRADORES!$A:$D,2,FALSE)&amp;" ")+1,99)),1)&amp;".")),""))</f>
        <v/>
      </c>
      <c r="F423" s="16">
        <f>IF($B423="PAGADO",MID("ABCDEFGHIJ",INT(VALUE($A423)/100)+1,1)&amp;"-"&amp;$A423,"")</f>
        <v/>
      </c>
      <c r="G423" s="16">
        <f>IF($B423="PAGADO","PAGADO",IF($B423="APARTADO",IF(NOT(ISNUMBER($C423)),"APARTADO",IF($C423&lt;1,"APARTADO",IF(NOW()-$C423&gt;1,"LIBRE","APARTADO"))),"LIBRE"))</f>
        <v/>
      </c>
      <c r="H423" s="15">
        <f>IF($G423&lt;&gt;"APARTADO","",IF(NOT(ISNUMBER($C423)),"FALTA LA HORA",IF($C423&lt;1,"FALTA LA FECHA",TEXT($C423+1,"dd/mm hh:mm"))))</f>
        <v/>
      </c>
    </row>
    <row r="424">
      <c r="A424" s="13" t="inlineStr">
        <is>
          <t>422</t>
        </is>
      </c>
      <c r="B424" t="inlineStr">
        <is>
          <t>LIBRE</t>
        </is>
      </c>
      <c r="C424" s="14" t="n"/>
      <c r="E424" s="15">
        <f>IF($G424&lt;&gt;"PAGADO","",IFERROR(IF(VLOOKUP($A424,COMPRADORES!$A:$D,4,FALSE)="NO","Reservado",LEFT(VLOOKUP($A424,COMPRADORES!$A:$D,2,FALSE),3)&amp;"***"&amp;IF(TRIM(MID(VLOOKUP($A424,COMPRADORES!$A:$D,2,FALSE)&amp;" ",FIND(" ",VLOOKUP($A424,COMPRADORES!$A:$D,2,FALSE)&amp;" ")+1,99))="",""," "&amp;LEFT(TRIM(MID(VLOOKUP($A424,COMPRADORES!$A:$D,2,FALSE)&amp;" ",FIND(" ",VLOOKUP($A424,COMPRADORES!$A:$D,2,FALSE)&amp;" ")+1,99)),1)&amp;".")),""))</f>
        <v/>
      </c>
      <c r="F424" s="16">
        <f>IF($B424="PAGADO",MID("ABCDEFGHIJ",INT(VALUE($A424)/100)+1,1)&amp;"-"&amp;$A424,"")</f>
        <v/>
      </c>
      <c r="G424" s="16">
        <f>IF($B424="PAGADO","PAGADO",IF($B424="APARTADO",IF(NOT(ISNUMBER($C424)),"APARTADO",IF($C424&lt;1,"APARTADO",IF(NOW()-$C424&gt;1,"LIBRE","APARTADO"))),"LIBRE"))</f>
        <v/>
      </c>
      <c r="H424" s="15">
        <f>IF($G424&lt;&gt;"APARTADO","",IF(NOT(ISNUMBER($C424)),"FALTA LA HORA",IF($C424&lt;1,"FALTA LA FECHA",TEXT($C424+1,"dd/mm hh:mm"))))</f>
        <v/>
      </c>
    </row>
    <row r="425">
      <c r="A425" s="13" t="inlineStr">
        <is>
          <t>423</t>
        </is>
      </c>
      <c r="B425" t="inlineStr">
        <is>
          <t>LIBRE</t>
        </is>
      </c>
      <c r="C425" s="14" t="n"/>
      <c r="E425" s="15">
        <f>IF($G425&lt;&gt;"PAGADO","",IFERROR(IF(VLOOKUP($A425,COMPRADORES!$A:$D,4,FALSE)="NO","Reservado",LEFT(VLOOKUP($A425,COMPRADORES!$A:$D,2,FALSE),3)&amp;"***"&amp;IF(TRIM(MID(VLOOKUP($A425,COMPRADORES!$A:$D,2,FALSE)&amp;" ",FIND(" ",VLOOKUP($A425,COMPRADORES!$A:$D,2,FALSE)&amp;" ")+1,99))="",""," "&amp;LEFT(TRIM(MID(VLOOKUP($A425,COMPRADORES!$A:$D,2,FALSE)&amp;" ",FIND(" ",VLOOKUP($A425,COMPRADORES!$A:$D,2,FALSE)&amp;" ")+1,99)),1)&amp;".")),""))</f>
        <v/>
      </c>
      <c r="F425" s="16">
        <f>IF($B425="PAGADO",MID("ABCDEFGHIJ",INT(VALUE($A425)/100)+1,1)&amp;"-"&amp;$A425,"")</f>
        <v/>
      </c>
      <c r="G425" s="16">
        <f>IF($B425="PAGADO","PAGADO",IF($B425="APARTADO",IF(NOT(ISNUMBER($C425)),"APARTADO",IF($C425&lt;1,"APARTADO",IF(NOW()-$C425&gt;1,"LIBRE","APARTADO"))),"LIBRE"))</f>
        <v/>
      </c>
      <c r="H425" s="15">
        <f>IF($G425&lt;&gt;"APARTADO","",IF(NOT(ISNUMBER($C425)),"FALTA LA HORA",IF($C425&lt;1,"FALTA LA FECHA",TEXT($C425+1,"dd/mm hh:mm"))))</f>
        <v/>
      </c>
    </row>
    <row r="426">
      <c r="A426" s="13" t="inlineStr">
        <is>
          <t>424</t>
        </is>
      </c>
      <c r="B426" t="inlineStr">
        <is>
          <t>LIBRE</t>
        </is>
      </c>
      <c r="C426" s="14" t="n"/>
      <c r="E426" s="15">
        <f>IF($G426&lt;&gt;"PAGADO","",IFERROR(IF(VLOOKUP($A426,COMPRADORES!$A:$D,4,FALSE)="NO","Reservado",LEFT(VLOOKUP($A426,COMPRADORES!$A:$D,2,FALSE),3)&amp;"***"&amp;IF(TRIM(MID(VLOOKUP($A426,COMPRADORES!$A:$D,2,FALSE)&amp;" ",FIND(" ",VLOOKUP($A426,COMPRADORES!$A:$D,2,FALSE)&amp;" ")+1,99))="",""," "&amp;LEFT(TRIM(MID(VLOOKUP($A426,COMPRADORES!$A:$D,2,FALSE)&amp;" ",FIND(" ",VLOOKUP($A426,COMPRADORES!$A:$D,2,FALSE)&amp;" ")+1,99)),1)&amp;".")),""))</f>
        <v/>
      </c>
      <c r="F426" s="16">
        <f>IF($B426="PAGADO",MID("ABCDEFGHIJ",INT(VALUE($A426)/100)+1,1)&amp;"-"&amp;$A426,"")</f>
        <v/>
      </c>
      <c r="G426" s="16">
        <f>IF($B426="PAGADO","PAGADO",IF($B426="APARTADO",IF(NOT(ISNUMBER($C426)),"APARTADO",IF($C426&lt;1,"APARTADO",IF(NOW()-$C426&gt;1,"LIBRE","APARTADO"))),"LIBRE"))</f>
        <v/>
      </c>
      <c r="H426" s="15">
        <f>IF($G426&lt;&gt;"APARTADO","",IF(NOT(ISNUMBER($C426)),"FALTA LA HORA",IF($C426&lt;1,"FALTA LA FECHA",TEXT($C426+1,"dd/mm hh:mm"))))</f>
        <v/>
      </c>
    </row>
    <row r="427">
      <c r="A427" s="13" t="inlineStr">
        <is>
          <t>425</t>
        </is>
      </c>
      <c r="B427" t="inlineStr">
        <is>
          <t>LIBRE</t>
        </is>
      </c>
      <c r="C427" s="14" t="n"/>
      <c r="E427" s="15">
        <f>IF($G427&lt;&gt;"PAGADO","",IFERROR(IF(VLOOKUP($A427,COMPRADORES!$A:$D,4,FALSE)="NO","Reservado",LEFT(VLOOKUP($A427,COMPRADORES!$A:$D,2,FALSE),3)&amp;"***"&amp;IF(TRIM(MID(VLOOKUP($A427,COMPRADORES!$A:$D,2,FALSE)&amp;" ",FIND(" ",VLOOKUP($A427,COMPRADORES!$A:$D,2,FALSE)&amp;" ")+1,99))="",""," "&amp;LEFT(TRIM(MID(VLOOKUP($A427,COMPRADORES!$A:$D,2,FALSE)&amp;" ",FIND(" ",VLOOKUP($A427,COMPRADORES!$A:$D,2,FALSE)&amp;" ")+1,99)),1)&amp;".")),""))</f>
        <v/>
      </c>
      <c r="F427" s="16">
        <f>IF($B427="PAGADO",MID("ABCDEFGHIJ",INT(VALUE($A427)/100)+1,1)&amp;"-"&amp;$A427,"")</f>
        <v/>
      </c>
      <c r="G427" s="16">
        <f>IF($B427="PAGADO","PAGADO",IF($B427="APARTADO",IF(NOT(ISNUMBER($C427)),"APARTADO",IF($C427&lt;1,"APARTADO",IF(NOW()-$C427&gt;1,"LIBRE","APARTADO"))),"LIBRE"))</f>
        <v/>
      </c>
      <c r="H427" s="15">
        <f>IF($G427&lt;&gt;"APARTADO","",IF(NOT(ISNUMBER($C427)),"FALTA LA HORA",IF($C427&lt;1,"FALTA LA FECHA",TEXT($C427+1,"dd/mm hh:mm"))))</f>
        <v/>
      </c>
    </row>
    <row r="428">
      <c r="A428" s="13" t="inlineStr">
        <is>
          <t>426</t>
        </is>
      </c>
      <c r="B428" t="inlineStr">
        <is>
          <t>LIBRE</t>
        </is>
      </c>
      <c r="C428" s="14" t="n"/>
      <c r="E428" s="15">
        <f>IF($G428&lt;&gt;"PAGADO","",IFERROR(IF(VLOOKUP($A428,COMPRADORES!$A:$D,4,FALSE)="NO","Reservado",LEFT(VLOOKUP($A428,COMPRADORES!$A:$D,2,FALSE),3)&amp;"***"&amp;IF(TRIM(MID(VLOOKUP($A428,COMPRADORES!$A:$D,2,FALSE)&amp;" ",FIND(" ",VLOOKUP($A428,COMPRADORES!$A:$D,2,FALSE)&amp;" ")+1,99))="",""," "&amp;LEFT(TRIM(MID(VLOOKUP($A428,COMPRADORES!$A:$D,2,FALSE)&amp;" ",FIND(" ",VLOOKUP($A428,COMPRADORES!$A:$D,2,FALSE)&amp;" ")+1,99)),1)&amp;".")),""))</f>
        <v/>
      </c>
      <c r="F428" s="16">
        <f>IF($B428="PAGADO",MID("ABCDEFGHIJ",INT(VALUE($A428)/100)+1,1)&amp;"-"&amp;$A428,"")</f>
        <v/>
      </c>
      <c r="G428" s="16">
        <f>IF($B428="PAGADO","PAGADO",IF($B428="APARTADO",IF(NOT(ISNUMBER($C428)),"APARTADO",IF($C428&lt;1,"APARTADO",IF(NOW()-$C428&gt;1,"LIBRE","APARTADO"))),"LIBRE"))</f>
        <v/>
      </c>
      <c r="H428" s="15">
        <f>IF($G428&lt;&gt;"APARTADO","",IF(NOT(ISNUMBER($C428)),"FALTA LA HORA",IF($C428&lt;1,"FALTA LA FECHA",TEXT($C428+1,"dd/mm hh:mm"))))</f>
        <v/>
      </c>
    </row>
    <row r="429">
      <c r="A429" s="13" t="inlineStr">
        <is>
          <t>427</t>
        </is>
      </c>
      <c r="B429" t="inlineStr">
        <is>
          <t>LIBRE</t>
        </is>
      </c>
      <c r="C429" s="14" t="n"/>
      <c r="E429" s="15">
        <f>IF($G429&lt;&gt;"PAGADO","",IFERROR(IF(VLOOKUP($A429,COMPRADORES!$A:$D,4,FALSE)="NO","Reservado",LEFT(VLOOKUP($A429,COMPRADORES!$A:$D,2,FALSE),3)&amp;"***"&amp;IF(TRIM(MID(VLOOKUP($A429,COMPRADORES!$A:$D,2,FALSE)&amp;" ",FIND(" ",VLOOKUP($A429,COMPRADORES!$A:$D,2,FALSE)&amp;" ")+1,99))="",""," "&amp;LEFT(TRIM(MID(VLOOKUP($A429,COMPRADORES!$A:$D,2,FALSE)&amp;" ",FIND(" ",VLOOKUP($A429,COMPRADORES!$A:$D,2,FALSE)&amp;" ")+1,99)),1)&amp;".")),""))</f>
        <v/>
      </c>
      <c r="F429" s="16">
        <f>IF($B429="PAGADO",MID("ABCDEFGHIJ",INT(VALUE($A429)/100)+1,1)&amp;"-"&amp;$A429,"")</f>
        <v/>
      </c>
      <c r="G429" s="16">
        <f>IF($B429="PAGADO","PAGADO",IF($B429="APARTADO",IF(NOT(ISNUMBER($C429)),"APARTADO",IF($C429&lt;1,"APARTADO",IF(NOW()-$C429&gt;1,"LIBRE","APARTADO"))),"LIBRE"))</f>
        <v/>
      </c>
      <c r="H429" s="15">
        <f>IF($G429&lt;&gt;"APARTADO","",IF(NOT(ISNUMBER($C429)),"FALTA LA HORA",IF($C429&lt;1,"FALTA LA FECHA",TEXT($C429+1,"dd/mm hh:mm"))))</f>
        <v/>
      </c>
    </row>
    <row r="430">
      <c r="A430" s="13" t="inlineStr">
        <is>
          <t>428</t>
        </is>
      </c>
      <c r="B430" t="inlineStr">
        <is>
          <t>LIBRE</t>
        </is>
      </c>
      <c r="C430" s="14" t="n"/>
      <c r="E430" s="15">
        <f>IF($G430&lt;&gt;"PAGADO","",IFERROR(IF(VLOOKUP($A430,COMPRADORES!$A:$D,4,FALSE)="NO","Reservado",LEFT(VLOOKUP($A430,COMPRADORES!$A:$D,2,FALSE),3)&amp;"***"&amp;IF(TRIM(MID(VLOOKUP($A430,COMPRADORES!$A:$D,2,FALSE)&amp;" ",FIND(" ",VLOOKUP($A430,COMPRADORES!$A:$D,2,FALSE)&amp;" ")+1,99))="",""," "&amp;LEFT(TRIM(MID(VLOOKUP($A430,COMPRADORES!$A:$D,2,FALSE)&amp;" ",FIND(" ",VLOOKUP($A430,COMPRADORES!$A:$D,2,FALSE)&amp;" ")+1,99)),1)&amp;".")),""))</f>
        <v/>
      </c>
      <c r="F430" s="16">
        <f>IF($B430="PAGADO",MID("ABCDEFGHIJ",INT(VALUE($A430)/100)+1,1)&amp;"-"&amp;$A430,"")</f>
        <v/>
      </c>
      <c r="G430" s="16">
        <f>IF($B430="PAGADO","PAGADO",IF($B430="APARTADO",IF(NOT(ISNUMBER($C430)),"APARTADO",IF($C430&lt;1,"APARTADO",IF(NOW()-$C430&gt;1,"LIBRE","APARTADO"))),"LIBRE"))</f>
        <v/>
      </c>
      <c r="H430" s="15">
        <f>IF($G430&lt;&gt;"APARTADO","",IF(NOT(ISNUMBER($C430)),"FALTA LA HORA",IF($C430&lt;1,"FALTA LA FECHA",TEXT($C430+1,"dd/mm hh:mm"))))</f>
        <v/>
      </c>
    </row>
    <row r="431">
      <c r="A431" s="13" t="inlineStr">
        <is>
          <t>429</t>
        </is>
      </c>
      <c r="B431" t="inlineStr">
        <is>
          <t>LIBRE</t>
        </is>
      </c>
      <c r="C431" s="14" t="n"/>
      <c r="E431" s="15">
        <f>IF($G431&lt;&gt;"PAGADO","",IFERROR(IF(VLOOKUP($A431,COMPRADORES!$A:$D,4,FALSE)="NO","Reservado",LEFT(VLOOKUP($A431,COMPRADORES!$A:$D,2,FALSE),3)&amp;"***"&amp;IF(TRIM(MID(VLOOKUP($A431,COMPRADORES!$A:$D,2,FALSE)&amp;" ",FIND(" ",VLOOKUP($A431,COMPRADORES!$A:$D,2,FALSE)&amp;" ")+1,99))="",""," "&amp;LEFT(TRIM(MID(VLOOKUP($A431,COMPRADORES!$A:$D,2,FALSE)&amp;" ",FIND(" ",VLOOKUP($A431,COMPRADORES!$A:$D,2,FALSE)&amp;" ")+1,99)),1)&amp;".")),""))</f>
        <v/>
      </c>
      <c r="F431" s="16">
        <f>IF($B431="PAGADO",MID("ABCDEFGHIJ",INT(VALUE($A431)/100)+1,1)&amp;"-"&amp;$A431,"")</f>
        <v/>
      </c>
      <c r="G431" s="16">
        <f>IF($B431="PAGADO","PAGADO",IF($B431="APARTADO",IF(NOT(ISNUMBER($C431)),"APARTADO",IF($C431&lt;1,"APARTADO",IF(NOW()-$C431&gt;1,"LIBRE","APARTADO"))),"LIBRE"))</f>
        <v/>
      </c>
      <c r="H431" s="15">
        <f>IF($G431&lt;&gt;"APARTADO","",IF(NOT(ISNUMBER($C431)),"FALTA LA HORA",IF($C431&lt;1,"FALTA LA FECHA",TEXT($C431+1,"dd/mm hh:mm"))))</f>
        <v/>
      </c>
    </row>
    <row r="432">
      <c r="A432" s="13" t="inlineStr">
        <is>
          <t>430</t>
        </is>
      </c>
      <c r="B432" t="inlineStr">
        <is>
          <t>LIBRE</t>
        </is>
      </c>
      <c r="C432" s="14" t="n"/>
      <c r="E432" s="15">
        <f>IF($G432&lt;&gt;"PAGADO","",IFERROR(IF(VLOOKUP($A432,COMPRADORES!$A:$D,4,FALSE)="NO","Reservado",LEFT(VLOOKUP($A432,COMPRADORES!$A:$D,2,FALSE),3)&amp;"***"&amp;IF(TRIM(MID(VLOOKUP($A432,COMPRADORES!$A:$D,2,FALSE)&amp;" ",FIND(" ",VLOOKUP($A432,COMPRADORES!$A:$D,2,FALSE)&amp;" ")+1,99))="",""," "&amp;LEFT(TRIM(MID(VLOOKUP($A432,COMPRADORES!$A:$D,2,FALSE)&amp;" ",FIND(" ",VLOOKUP($A432,COMPRADORES!$A:$D,2,FALSE)&amp;" ")+1,99)),1)&amp;".")),""))</f>
        <v/>
      </c>
      <c r="F432" s="16">
        <f>IF($B432="PAGADO",MID("ABCDEFGHIJ",INT(VALUE($A432)/100)+1,1)&amp;"-"&amp;$A432,"")</f>
        <v/>
      </c>
      <c r="G432" s="16">
        <f>IF($B432="PAGADO","PAGADO",IF($B432="APARTADO",IF(NOT(ISNUMBER($C432)),"APARTADO",IF($C432&lt;1,"APARTADO",IF(NOW()-$C432&gt;1,"LIBRE","APARTADO"))),"LIBRE"))</f>
        <v/>
      </c>
      <c r="H432" s="15">
        <f>IF($G432&lt;&gt;"APARTADO","",IF(NOT(ISNUMBER($C432)),"FALTA LA HORA",IF($C432&lt;1,"FALTA LA FECHA",TEXT($C432+1,"dd/mm hh:mm"))))</f>
        <v/>
      </c>
    </row>
    <row r="433">
      <c r="A433" s="13" t="inlineStr">
        <is>
          <t>431</t>
        </is>
      </c>
      <c r="B433" t="inlineStr">
        <is>
          <t>LIBRE</t>
        </is>
      </c>
      <c r="C433" s="14" t="n"/>
      <c r="E433" s="15">
        <f>IF($G433&lt;&gt;"PAGADO","",IFERROR(IF(VLOOKUP($A433,COMPRADORES!$A:$D,4,FALSE)="NO","Reservado",LEFT(VLOOKUP($A433,COMPRADORES!$A:$D,2,FALSE),3)&amp;"***"&amp;IF(TRIM(MID(VLOOKUP($A433,COMPRADORES!$A:$D,2,FALSE)&amp;" ",FIND(" ",VLOOKUP($A433,COMPRADORES!$A:$D,2,FALSE)&amp;" ")+1,99))="",""," "&amp;LEFT(TRIM(MID(VLOOKUP($A433,COMPRADORES!$A:$D,2,FALSE)&amp;" ",FIND(" ",VLOOKUP($A433,COMPRADORES!$A:$D,2,FALSE)&amp;" ")+1,99)),1)&amp;".")),""))</f>
        <v/>
      </c>
      <c r="F433" s="16">
        <f>IF($B433="PAGADO",MID("ABCDEFGHIJ",INT(VALUE($A433)/100)+1,1)&amp;"-"&amp;$A433,"")</f>
        <v/>
      </c>
      <c r="G433" s="16">
        <f>IF($B433="PAGADO","PAGADO",IF($B433="APARTADO",IF(NOT(ISNUMBER($C433)),"APARTADO",IF($C433&lt;1,"APARTADO",IF(NOW()-$C433&gt;1,"LIBRE","APARTADO"))),"LIBRE"))</f>
        <v/>
      </c>
      <c r="H433" s="15">
        <f>IF($G433&lt;&gt;"APARTADO","",IF(NOT(ISNUMBER($C433)),"FALTA LA HORA",IF($C433&lt;1,"FALTA LA FECHA",TEXT($C433+1,"dd/mm hh:mm"))))</f>
        <v/>
      </c>
    </row>
    <row r="434">
      <c r="A434" s="13" t="inlineStr">
        <is>
          <t>432</t>
        </is>
      </c>
      <c r="B434" t="inlineStr">
        <is>
          <t>LIBRE</t>
        </is>
      </c>
      <c r="C434" s="14" t="n"/>
      <c r="E434" s="15">
        <f>IF($G434&lt;&gt;"PAGADO","",IFERROR(IF(VLOOKUP($A434,COMPRADORES!$A:$D,4,FALSE)="NO","Reservado",LEFT(VLOOKUP($A434,COMPRADORES!$A:$D,2,FALSE),3)&amp;"***"&amp;IF(TRIM(MID(VLOOKUP($A434,COMPRADORES!$A:$D,2,FALSE)&amp;" ",FIND(" ",VLOOKUP($A434,COMPRADORES!$A:$D,2,FALSE)&amp;" ")+1,99))="",""," "&amp;LEFT(TRIM(MID(VLOOKUP($A434,COMPRADORES!$A:$D,2,FALSE)&amp;" ",FIND(" ",VLOOKUP($A434,COMPRADORES!$A:$D,2,FALSE)&amp;" ")+1,99)),1)&amp;".")),""))</f>
        <v/>
      </c>
      <c r="F434" s="16">
        <f>IF($B434="PAGADO",MID("ABCDEFGHIJ",INT(VALUE($A434)/100)+1,1)&amp;"-"&amp;$A434,"")</f>
        <v/>
      </c>
      <c r="G434" s="16">
        <f>IF($B434="PAGADO","PAGADO",IF($B434="APARTADO",IF(NOT(ISNUMBER($C434)),"APARTADO",IF($C434&lt;1,"APARTADO",IF(NOW()-$C434&gt;1,"LIBRE","APARTADO"))),"LIBRE"))</f>
        <v/>
      </c>
      <c r="H434" s="15">
        <f>IF($G434&lt;&gt;"APARTADO","",IF(NOT(ISNUMBER($C434)),"FALTA LA HORA",IF($C434&lt;1,"FALTA LA FECHA",TEXT($C434+1,"dd/mm hh:mm"))))</f>
        <v/>
      </c>
    </row>
    <row r="435">
      <c r="A435" s="13" t="inlineStr">
        <is>
          <t>433</t>
        </is>
      </c>
      <c r="B435" t="inlineStr">
        <is>
          <t>LIBRE</t>
        </is>
      </c>
      <c r="C435" s="14" t="n"/>
      <c r="E435" s="15">
        <f>IF($G435&lt;&gt;"PAGADO","",IFERROR(IF(VLOOKUP($A435,COMPRADORES!$A:$D,4,FALSE)="NO","Reservado",LEFT(VLOOKUP($A435,COMPRADORES!$A:$D,2,FALSE),3)&amp;"***"&amp;IF(TRIM(MID(VLOOKUP($A435,COMPRADORES!$A:$D,2,FALSE)&amp;" ",FIND(" ",VLOOKUP($A435,COMPRADORES!$A:$D,2,FALSE)&amp;" ")+1,99))="",""," "&amp;LEFT(TRIM(MID(VLOOKUP($A435,COMPRADORES!$A:$D,2,FALSE)&amp;" ",FIND(" ",VLOOKUP($A435,COMPRADORES!$A:$D,2,FALSE)&amp;" ")+1,99)),1)&amp;".")),""))</f>
        <v/>
      </c>
      <c r="F435" s="16">
        <f>IF($B435="PAGADO",MID("ABCDEFGHIJ",INT(VALUE($A435)/100)+1,1)&amp;"-"&amp;$A435,"")</f>
        <v/>
      </c>
      <c r="G435" s="16">
        <f>IF($B435="PAGADO","PAGADO",IF($B435="APARTADO",IF(NOT(ISNUMBER($C435)),"APARTADO",IF($C435&lt;1,"APARTADO",IF(NOW()-$C435&gt;1,"LIBRE","APARTADO"))),"LIBRE"))</f>
        <v/>
      </c>
      <c r="H435" s="15">
        <f>IF($G435&lt;&gt;"APARTADO","",IF(NOT(ISNUMBER($C435)),"FALTA LA HORA",IF($C435&lt;1,"FALTA LA FECHA",TEXT($C435+1,"dd/mm hh:mm"))))</f>
        <v/>
      </c>
    </row>
    <row r="436">
      <c r="A436" s="13" t="inlineStr">
        <is>
          <t>434</t>
        </is>
      </c>
      <c r="B436" t="inlineStr">
        <is>
          <t>LIBRE</t>
        </is>
      </c>
      <c r="C436" s="14" t="n"/>
      <c r="E436" s="15">
        <f>IF($G436&lt;&gt;"PAGADO","",IFERROR(IF(VLOOKUP($A436,COMPRADORES!$A:$D,4,FALSE)="NO","Reservado",LEFT(VLOOKUP($A436,COMPRADORES!$A:$D,2,FALSE),3)&amp;"***"&amp;IF(TRIM(MID(VLOOKUP($A436,COMPRADORES!$A:$D,2,FALSE)&amp;" ",FIND(" ",VLOOKUP($A436,COMPRADORES!$A:$D,2,FALSE)&amp;" ")+1,99))="",""," "&amp;LEFT(TRIM(MID(VLOOKUP($A436,COMPRADORES!$A:$D,2,FALSE)&amp;" ",FIND(" ",VLOOKUP($A436,COMPRADORES!$A:$D,2,FALSE)&amp;" ")+1,99)),1)&amp;".")),""))</f>
        <v/>
      </c>
      <c r="F436" s="16">
        <f>IF($B436="PAGADO",MID("ABCDEFGHIJ",INT(VALUE($A436)/100)+1,1)&amp;"-"&amp;$A436,"")</f>
        <v/>
      </c>
      <c r="G436" s="16">
        <f>IF($B436="PAGADO","PAGADO",IF($B436="APARTADO",IF(NOT(ISNUMBER($C436)),"APARTADO",IF($C436&lt;1,"APARTADO",IF(NOW()-$C436&gt;1,"LIBRE","APARTADO"))),"LIBRE"))</f>
        <v/>
      </c>
      <c r="H436" s="15">
        <f>IF($G436&lt;&gt;"APARTADO","",IF(NOT(ISNUMBER($C436)),"FALTA LA HORA",IF($C436&lt;1,"FALTA LA FECHA",TEXT($C436+1,"dd/mm hh:mm"))))</f>
        <v/>
      </c>
    </row>
    <row r="437">
      <c r="A437" s="13" t="inlineStr">
        <is>
          <t>435</t>
        </is>
      </c>
      <c r="B437" t="inlineStr">
        <is>
          <t>LIBRE</t>
        </is>
      </c>
      <c r="C437" s="14" t="n"/>
      <c r="E437" s="15">
        <f>IF($G437&lt;&gt;"PAGADO","",IFERROR(IF(VLOOKUP($A437,COMPRADORES!$A:$D,4,FALSE)="NO","Reservado",LEFT(VLOOKUP($A437,COMPRADORES!$A:$D,2,FALSE),3)&amp;"***"&amp;IF(TRIM(MID(VLOOKUP($A437,COMPRADORES!$A:$D,2,FALSE)&amp;" ",FIND(" ",VLOOKUP($A437,COMPRADORES!$A:$D,2,FALSE)&amp;" ")+1,99))="",""," "&amp;LEFT(TRIM(MID(VLOOKUP($A437,COMPRADORES!$A:$D,2,FALSE)&amp;" ",FIND(" ",VLOOKUP($A437,COMPRADORES!$A:$D,2,FALSE)&amp;" ")+1,99)),1)&amp;".")),""))</f>
        <v/>
      </c>
      <c r="F437" s="16">
        <f>IF($B437="PAGADO",MID("ABCDEFGHIJ",INT(VALUE($A437)/100)+1,1)&amp;"-"&amp;$A437,"")</f>
        <v/>
      </c>
      <c r="G437" s="16">
        <f>IF($B437="PAGADO","PAGADO",IF($B437="APARTADO",IF(NOT(ISNUMBER($C437)),"APARTADO",IF($C437&lt;1,"APARTADO",IF(NOW()-$C437&gt;1,"LIBRE","APARTADO"))),"LIBRE"))</f>
        <v/>
      </c>
      <c r="H437" s="15">
        <f>IF($G437&lt;&gt;"APARTADO","",IF(NOT(ISNUMBER($C437)),"FALTA LA HORA",IF($C437&lt;1,"FALTA LA FECHA",TEXT($C437+1,"dd/mm hh:mm"))))</f>
        <v/>
      </c>
    </row>
    <row r="438">
      <c r="A438" s="13" t="inlineStr">
        <is>
          <t>436</t>
        </is>
      </c>
      <c r="B438" t="inlineStr">
        <is>
          <t>LIBRE</t>
        </is>
      </c>
      <c r="C438" s="14" t="n"/>
      <c r="E438" s="15">
        <f>IF($G438&lt;&gt;"PAGADO","",IFERROR(IF(VLOOKUP($A438,COMPRADORES!$A:$D,4,FALSE)="NO","Reservado",LEFT(VLOOKUP($A438,COMPRADORES!$A:$D,2,FALSE),3)&amp;"***"&amp;IF(TRIM(MID(VLOOKUP($A438,COMPRADORES!$A:$D,2,FALSE)&amp;" ",FIND(" ",VLOOKUP($A438,COMPRADORES!$A:$D,2,FALSE)&amp;" ")+1,99))="",""," "&amp;LEFT(TRIM(MID(VLOOKUP($A438,COMPRADORES!$A:$D,2,FALSE)&amp;" ",FIND(" ",VLOOKUP($A438,COMPRADORES!$A:$D,2,FALSE)&amp;" ")+1,99)),1)&amp;".")),""))</f>
        <v/>
      </c>
      <c r="F438" s="16">
        <f>IF($B438="PAGADO",MID("ABCDEFGHIJ",INT(VALUE($A438)/100)+1,1)&amp;"-"&amp;$A438,"")</f>
        <v/>
      </c>
      <c r="G438" s="16">
        <f>IF($B438="PAGADO","PAGADO",IF($B438="APARTADO",IF(NOT(ISNUMBER($C438)),"APARTADO",IF($C438&lt;1,"APARTADO",IF(NOW()-$C438&gt;1,"LIBRE","APARTADO"))),"LIBRE"))</f>
        <v/>
      </c>
      <c r="H438" s="15">
        <f>IF($G438&lt;&gt;"APARTADO","",IF(NOT(ISNUMBER($C438)),"FALTA LA HORA",IF($C438&lt;1,"FALTA LA FECHA",TEXT($C438+1,"dd/mm hh:mm"))))</f>
        <v/>
      </c>
    </row>
    <row r="439">
      <c r="A439" s="13" t="inlineStr">
        <is>
          <t>437</t>
        </is>
      </c>
      <c r="B439" t="inlineStr">
        <is>
          <t>LIBRE</t>
        </is>
      </c>
      <c r="C439" s="14" t="n"/>
      <c r="E439" s="15">
        <f>IF($G439&lt;&gt;"PAGADO","",IFERROR(IF(VLOOKUP($A439,COMPRADORES!$A:$D,4,FALSE)="NO","Reservado",LEFT(VLOOKUP($A439,COMPRADORES!$A:$D,2,FALSE),3)&amp;"***"&amp;IF(TRIM(MID(VLOOKUP($A439,COMPRADORES!$A:$D,2,FALSE)&amp;" ",FIND(" ",VLOOKUP($A439,COMPRADORES!$A:$D,2,FALSE)&amp;" ")+1,99))="",""," "&amp;LEFT(TRIM(MID(VLOOKUP($A439,COMPRADORES!$A:$D,2,FALSE)&amp;" ",FIND(" ",VLOOKUP($A439,COMPRADORES!$A:$D,2,FALSE)&amp;" ")+1,99)),1)&amp;".")),""))</f>
        <v/>
      </c>
      <c r="F439" s="16">
        <f>IF($B439="PAGADO",MID("ABCDEFGHIJ",INT(VALUE($A439)/100)+1,1)&amp;"-"&amp;$A439,"")</f>
        <v/>
      </c>
      <c r="G439" s="16">
        <f>IF($B439="PAGADO","PAGADO",IF($B439="APARTADO",IF(NOT(ISNUMBER($C439)),"APARTADO",IF($C439&lt;1,"APARTADO",IF(NOW()-$C439&gt;1,"LIBRE","APARTADO"))),"LIBRE"))</f>
        <v/>
      </c>
      <c r="H439" s="15">
        <f>IF($G439&lt;&gt;"APARTADO","",IF(NOT(ISNUMBER($C439)),"FALTA LA HORA",IF($C439&lt;1,"FALTA LA FECHA",TEXT($C439+1,"dd/mm hh:mm"))))</f>
        <v/>
      </c>
    </row>
    <row r="440">
      <c r="A440" s="13" t="inlineStr">
        <is>
          <t>438</t>
        </is>
      </c>
      <c r="B440" t="inlineStr">
        <is>
          <t>LIBRE</t>
        </is>
      </c>
      <c r="C440" s="14" t="n"/>
      <c r="E440" s="15">
        <f>IF($G440&lt;&gt;"PAGADO","",IFERROR(IF(VLOOKUP($A440,COMPRADORES!$A:$D,4,FALSE)="NO","Reservado",LEFT(VLOOKUP($A440,COMPRADORES!$A:$D,2,FALSE),3)&amp;"***"&amp;IF(TRIM(MID(VLOOKUP($A440,COMPRADORES!$A:$D,2,FALSE)&amp;" ",FIND(" ",VLOOKUP($A440,COMPRADORES!$A:$D,2,FALSE)&amp;" ")+1,99))="",""," "&amp;LEFT(TRIM(MID(VLOOKUP($A440,COMPRADORES!$A:$D,2,FALSE)&amp;" ",FIND(" ",VLOOKUP($A440,COMPRADORES!$A:$D,2,FALSE)&amp;" ")+1,99)),1)&amp;".")),""))</f>
        <v/>
      </c>
      <c r="F440" s="16">
        <f>IF($B440="PAGADO",MID("ABCDEFGHIJ",INT(VALUE($A440)/100)+1,1)&amp;"-"&amp;$A440,"")</f>
        <v/>
      </c>
      <c r="G440" s="16">
        <f>IF($B440="PAGADO","PAGADO",IF($B440="APARTADO",IF(NOT(ISNUMBER($C440)),"APARTADO",IF($C440&lt;1,"APARTADO",IF(NOW()-$C440&gt;1,"LIBRE","APARTADO"))),"LIBRE"))</f>
        <v/>
      </c>
      <c r="H440" s="15">
        <f>IF($G440&lt;&gt;"APARTADO","",IF(NOT(ISNUMBER($C440)),"FALTA LA HORA",IF($C440&lt;1,"FALTA LA FECHA",TEXT($C440+1,"dd/mm hh:mm"))))</f>
        <v/>
      </c>
    </row>
    <row r="441">
      <c r="A441" s="13" t="inlineStr">
        <is>
          <t>439</t>
        </is>
      </c>
      <c r="B441" t="inlineStr">
        <is>
          <t>LIBRE</t>
        </is>
      </c>
      <c r="C441" s="14" t="n"/>
      <c r="E441" s="15">
        <f>IF($G441&lt;&gt;"PAGADO","",IFERROR(IF(VLOOKUP($A441,COMPRADORES!$A:$D,4,FALSE)="NO","Reservado",LEFT(VLOOKUP($A441,COMPRADORES!$A:$D,2,FALSE),3)&amp;"***"&amp;IF(TRIM(MID(VLOOKUP($A441,COMPRADORES!$A:$D,2,FALSE)&amp;" ",FIND(" ",VLOOKUP($A441,COMPRADORES!$A:$D,2,FALSE)&amp;" ")+1,99))="",""," "&amp;LEFT(TRIM(MID(VLOOKUP($A441,COMPRADORES!$A:$D,2,FALSE)&amp;" ",FIND(" ",VLOOKUP($A441,COMPRADORES!$A:$D,2,FALSE)&amp;" ")+1,99)),1)&amp;".")),""))</f>
        <v/>
      </c>
      <c r="F441" s="16">
        <f>IF($B441="PAGADO",MID("ABCDEFGHIJ",INT(VALUE($A441)/100)+1,1)&amp;"-"&amp;$A441,"")</f>
        <v/>
      </c>
      <c r="G441" s="16">
        <f>IF($B441="PAGADO","PAGADO",IF($B441="APARTADO",IF(NOT(ISNUMBER($C441)),"APARTADO",IF($C441&lt;1,"APARTADO",IF(NOW()-$C441&gt;1,"LIBRE","APARTADO"))),"LIBRE"))</f>
        <v/>
      </c>
      <c r="H441" s="15">
        <f>IF($G441&lt;&gt;"APARTADO","",IF(NOT(ISNUMBER($C441)),"FALTA LA HORA",IF($C441&lt;1,"FALTA LA FECHA",TEXT($C441+1,"dd/mm hh:mm"))))</f>
        <v/>
      </c>
    </row>
    <row r="442">
      <c r="A442" s="13" t="inlineStr">
        <is>
          <t>440</t>
        </is>
      </c>
      <c r="B442" t="inlineStr">
        <is>
          <t>LIBRE</t>
        </is>
      </c>
      <c r="C442" s="14" t="n"/>
      <c r="E442" s="15">
        <f>IF($G442&lt;&gt;"PAGADO","",IFERROR(IF(VLOOKUP($A442,COMPRADORES!$A:$D,4,FALSE)="NO","Reservado",LEFT(VLOOKUP($A442,COMPRADORES!$A:$D,2,FALSE),3)&amp;"***"&amp;IF(TRIM(MID(VLOOKUP($A442,COMPRADORES!$A:$D,2,FALSE)&amp;" ",FIND(" ",VLOOKUP($A442,COMPRADORES!$A:$D,2,FALSE)&amp;" ")+1,99))="",""," "&amp;LEFT(TRIM(MID(VLOOKUP($A442,COMPRADORES!$A:$D,2,FALSE)&amp;" ",FIND(" ",VLOOKUP($A442,COMPRADORES!$A:$D,2,FALSE)&amp;" ")+1,99)),1)&amp;".")),""))</f>
        <v/>
      </c>
      <c r="F442" s="16">
        <f>IF($B442="PAGADO",MID("ABCDEFGHIJ",INT(VALUE($A442)/100)+1,1)&amp;"-"&amp;$A442,"")</f>
        <v/>
      </c>
      <c r="G442" s="16">
        <f>IF($B442="PAGADO","PAGADO",IF($B442="APARTADO",IF(NOT(ISNUMBER($C442)),"APARTADO",IF($C442&lt;1,"APARTADO",IF(NOW()-$C442&gt;1,"LIBRE","APARTADO"))),"LIBRE"))</f>
        <v/>
      </c>
      <c r="H442" s="15">
        <f>IF($G442&lt;&gt;"APARTADO","",IF(NOT(ISNUMBER($C442)),"FALTA LA HORA",IF($C442&lt;1,"FALTA LA FECHA",TEXT($C442+1,"dd/mm hh:mm"))))</f>
        <v/>
      </c>
    </row>
    <row r="443">
      <c r="A443" s="13" t="inlineStr">
        <is>
          <t>441</t>
        </is>
      </c>
      <c r="B443" t="inlineStr">
        <is>
          <t>LIBRE</t>
        </is>
      </c>
      <c r="C443" s="14" t="n"/>
      <c r="E443" s="15">
        <f>IF($G443&lt;&gt;"PAGADO","",IFERROR(IF(VLOOKUP($A443,COMPRADORES!$A:$D,4,FALSE)="NO","Reservado",LEFT(VLOOKUP($A443,COMPRADORES!$A:$D,2,FALSE),3)&amp;"***"&amp;IF(TRIM(MID(VLOOKUP($A443,COMPRADORES!$A:$D,2,FALSE)&amp;" ",FIND(" ",VLOOKUP($A443,COMPRADORES!$A:$D,2,FALSE)&amp;" ")+1,99))="",""," "&amp;LEFT(TRIM(MID(VLOOKUP($A443,COMPRADORES!$A:$D,2,FALSE)&amp;" ",FIND(" ",VLOOKUP($A443,COMPRADORES!$A:$D,2,FALSE)&amp;" ")+1,99)),1)&amp;".")),""))</f>
        <v/>
      </c>
      <c r="F443" s="16">
        <f>IF($B443="PAGADO",MID("ABCDEFGHIJ",INT(VALUE($A443)/100)+1,1)&amp;"-"&amp;$A443,"")</f>
        <v/>
      </c>
      <c r="G443" s="16">
        <f>IF($B443="PAGADO","PAGADO",IF($B443="APARTADO",IF(NOT(ISNUMBER($C443)),"APARTADO",IF($C443&lt;1,"APARTADO",IF(NOW()-$C443&gt;1,"LIBRE","APARTADO"))),"LIBRE"))</f>
        <v/>
      </c>
      <c r="H443" s="15">
        <f>IF($G443&lt;&gt;"APARTADO","",IF(NOT(ISNUMBER($C443)),"FALTA LA HORA",IF($C443&lt;1,"FALTA LA FECHA",TEXT($C443+1,"dd/mm hh:mm"))))</f>
        <v/>
      </c>
    </row>
    <row r="444">
      <c r="A444" s="13" t="inlineStr">
        <is>
          <t>442</t>
        </is>
      </c>
      <c r="B444" t="inlineStr">
        <is>
          <t>LIBRE</t>
        </is>
      </c>
      <c r="C444" s="14" t="n"/>
      <c r="E444" s="15">
        <f>IF($G444&lt;&gt;"PAGADO","",IFERROR(IF(VLOOKUP($A444,COMPRADORES!$A:$D,4,FALSE)="NO","Reservado",LEFT(VLOOKUP($A444,COMPRADORES!$A:$D,2,FALSE),3)&amp;"***"&amp;IF(TRIM(MID(VLOOKUP($A444,COMPRADORES!$A:$D,2,FALSE)&amp;" ",FIND(" ",VLOOKUP($A444,COMPRADORES!$A:$D,2,FALSE)&amp;" ")+1,99))="",""," "&amp;LEFT(TRIM(MID(VLOOKUP($A444,COMPRADORES!$A:$D,2,FALSE)&amp;" ",FIND(" ",VLOOKUP($A444,COMPRADORES!$A:$D,2,FALSE)&amp;" ")+1,99)),1)&amp;".")),""))</f>
        <v/>
      </c>
      <c r="F444" s="16">
        <f>IF($B444="PAGADO",MID("ABCDEFGHIJ",INT(VALUE($A444)/100)+1,1)&amp;"-"&amp;$A444,"")</f>
        <v/>
      </c>
      <c r="G444" s="16">
        <f>IF($B444="PAGADO","PAGADO",IF($B444="APARTADO",IF(NOT(ISNUMBER($C444)),"APARTADO",IF($C444&lt;1,"APARTADO",IF(NOW()-$C444&gt;1,"LIBRE","APARTADO"))),"LIBRE"))</f>
        <v/>
      </c>
      <c r="H444" s="15">
        <f>IF($G444&lt;&gt;"APARTADO","",IF(NOT(ISNUMBER($C444)),"FALTA LA HORA",IF($C444&lt;1,"FALTA LA FECHA",TEXT($C444+1,"dd/mm hh:mm"))))</f>
        <v/>
      </c>
    </row>
    <row r="445">
      <c r="A445" s="13" t="inlineStr">
        <is>
          <t>443</t>
        </is>
      </c>
      <c r="B445" t="inlineStr">
        <is>
          <t>LIBRE</t>
        </is>
      </c>
      <c r="C445" s="14" t="n"/>
      <c r="E445" s="15">
        <f>IF($G445&lt;&gt;"PAGADO","",IFERROR(IF(VLOOKUP($A445,COMPRADORES!$A:$D,4,FALSE)="NO","Reservado",LEFT(VLOOKUP($A445,COMPRADORES!$A:$D,2,FALSE),3)&amp;"***"&amp;IF(TRIM(MID(VLOOKUP($A445,COMPRADORES!$A:$D,2,FALSE)&amp;" ",FIND(" ",VLOOKUP($A445,COMPRADORES!$A:$D,2,FALSE)&amp;" ")+1,99))="",""," "&amp;LEFT(TRIM(MID(VLOOKUP($A445,COMPRADORES!$A:$D,2,FALSE)&amp;" ",FIND(" ",VLOOKUP($A445,COMPRADORES!$A:$D,2,FALSE)&amp;" ")+1,99)),1)&amp;".")),""))</f>
        <v/>
      </c>
      <c r="F445" s="16">
        <f>IF($B445="PAGADO",MID("ABCDEFGHIJ",INT(VALUE($A445)/100)+1,1)&amp;"-"&amp;$A445,"")</f>
        <v/>
      </c>
      <c r="G445" s="16">
        <f>IF($B445="PAGADO","PAGADO",IF($B445="APARTADO",IF(NOT(ISNUMBER($C445)),"APARTADO",IF($C445&lt;1,"APARTADO",IF(NOW()-$C445&gt;1,"LIBRE","APARTADO"))),"LIBRE"))</f>
        <v/>
      </c>
      <c r="H445" s="15">
        <f>IF($G445&lt;&gt;"APARTADO","",IF(NOT(ISNUMBER($C445)),"FALTA LA HORA",IF($C445&lt;1,"FALTA LA FECHA",TEXT($C445+1,"dd/mm hh:mm"))))</f>
        <v/>
      </c>
    </row>
    <row r="446">
      <c r="A446" s="13" t="inlineStr">
        <is>
          <t>444</t>
        </is>
      </c>
      <c r="B446" t="inlineStr">
        <is>
          <t>LIBRE</t>
        </is>
      </c>
      <c r="C446" s="14" t="n"/>
      <c r="E446" s="15">
        <f>IF($G446&lt;&gt;"PAGADO","",IFERROR(IF(VLOOKUP($A446,COMPRADORES!$A:$D,4,FALSE)="NO","Reservado",LEFT(VLOOKUP($A446,COMPRADORES!$A:$D,2,FALSE),3)&amp;"***"&amp;IF(TRIM(MID(VLOOKUP($A446,COMPRADORES!$A:$D,2,FALSE)&amp;" ",FIND(" ",VLOOKUP($A446,COMPRADORES!$A:$D,2,FALSE)&amp;" ")+1,99))="",""," "&amp;LEFT(TRIM(MID(VLOOKUP($A446,COMPRADORES!$A:$D,2,FALSE)&amp;" ",FIND(" ",VLOOKUP($A446,COMPRADORES!$A:$D,2,FALSE)&amp;" ")+1,99)),1)&amp;".")),""))</f>
        <v/>
      </c>
      <c r="F446" s="16">
        <f>IF($B446="PAGADO",MID("ABCDEFGHIJ",INT(VALUE($A446)/100)+1,1)&amp;"-"&amp;$A446,"")</f>
        <v/>
      </c>
      <c r="G446" s="16">
        <f>IF($B446="PAGADO","PAGADO",IF($B446="APARTADO",IF(NOT(ISNUMBER($C446)),"APARTADO",IF($C446&lt;1,"APARTADO",IF(NOW()-$C446&gt;1,"LIBRE","APARTADO"))),"LIBRE"))</f>
        <v/>
      </c>
      <c r="H446" s="15">
        <f>IF($G446&lt;&gt;"APARTADO","",IF(NOT(ISNUMBER($C446)),"FALTA LA HORA",IF($C446&lt;1,"FALTA LA FECHA",TEXT($C446+1,"dd/mm hh:mm"))))</f>
        <v/>
      </c>
    </row>
    <row r="447">
      <c r="A447" s="13" t="inlineStr">
        <is>
          <t>445</t>
        </is>
      </c>
      <c r="B447" t="inlineStr">
        <is>
          <t>LIBRE</t>
        </is>
      </c>
      <c r="C447" s="14" t="n"/>
      <c r="E447" s="15">
        <f>IF($G447&lt;&gt;"PAGADO","",IFERROR(IF(VLOOKUP($A447,COMPRADORES!$A:$D,4,FALSE)="NO","Reservado",LEFT(VLOOKUP($A447,COMPRADORES!$A:$D,2,FALSE),3)&amp;"***"&amp;IF(TRIM(MID(VLOOKUP($A447,COMPRADORES!$A:$D,2,FALSE)&amp;" ",FIND(" ",VLOOKUP($A447,COMPRADORES!$A:$D,2,FALSE)&amp;" ")+1,99))="",""," "&amp;LEFT(TRIM(MID(VLOOKUP($A447,COMPRADORES!$A:$D,2,FALSE)&amp;" ",FIND(" ",VLOOKUP($A447,COMPRADORES!$A:$D,2,FALSE)&amp;" ")+1,99)),1)&amp;".")),""))</f>
        <v/>
      </c>
      <c r="F447" s="16">
        <f>IF($B447="PAGADO",MID("ABCDEFGHIJ",INT(VALUE($A447)/100)+1,1)&amp;"-"&amp;$A447,"")</f>
        <v/>
      </c>
      <c r="G447" s="16">
        <f>IF($B447="PAGADO","PAGADO",IF($B447="APARTADO",IF(NOT(ISNUMBER($C447)),"APARTADO",IF($C447&lt;1,"APARTADO",IF(NOW()-$C447&gt;1,"LIBRE","APARTADO"))),"LIBRE"))</f>
        <v/>
      </c>
      <c r="H447" s="15">
        <f>IF($G447&lt;&gt;"APARTADO","",IF(NOT(ISNUMBER($C447)),"FALTA LA HORA",IF($C447&lt;1,"FALTA LA FECHA",TEXT($C447+1,"dd/mm hh:mm"))))</f>
        <v/>
      </c>
    </row>
    <row r="448">
      <c r="A448" s="13" t="inlineStr">
        <is>
          <t>446</t>
        </is>
      </c>
      <c r="B448" t="inlineStr">
        <is>
          <t>LIBRE</t>
        </is>
      </c>
      <c r="C448" s="14" t="n"/>
      <c r="E448" s="15">
        <f>IF($G448&lt;&gt;"PAGADO","",IFERROR(IF(VLOOKUP($A448,COMPRADORES!$A:$D,4,FALSE)="NO","Reservado",LEFT(VLOOKUP($A448,COMPRADORES!$A:$D,2,FALSE),3)&amp;"***"&amp;IF(TRIM(MID(VLOOKUP($A448,COMPRADORES!$A:$D,2,FALSE)&amp;" ",FIND(" ",VLOOKUP($A448,COMPRADORES!$A:$D,2,FALSE)&amp;" ")+1,99))="",""," "&amp;LEFT(TRIM(MID(VLOOKUP($A448,COMPRADORES!$A:$D,2,FALSE)&amp;" ",FIND(" ",VLOOKUP($A448,COMPRADORES!$A:$D,2,FALSE)&amp;" ")+1,99)),1)&amp;".")),""))</f>
        <v/>
      </c>
      <c r="F448" s="16">
        <f>IF($B448="PAGADO",MID("ABCDEFGHIJ",INT(VALUE($A448)/100)+1,1)&amp;"-"&amp;$A448,"")</f>
        <v/>
      </c>
      <c r="G448" s="16">
        <f>IF($B448="PAGADO","PAGADO",IF($B448="APARTADO",IF(NOT(ISNUMBER($C448)),"APARTADO",IF($C448&lt;1,"APARTADO",IF(NOW()-$C448&gt;1,"LIBRE","APARTADO"))),"LIBRE"))</f>
        <v/>
      </c>
      <c r="H448" s="15">
        <f>IF($G448&lt;&gt;"APARTADO","",IF(NOT(ISNUMBER($C448)),"FALTA LA HORA",IF($C448&lt;1,"FALTA LA FECHA",TEXT($C448+1,"dd/mm hh:mm"))))</f>
        <v/>
      </c>
    </row>
    <row r="449">
      <c r="A449" s="13" t="inlineStr">
        <is>
          <t>447</t>
        </is>
      </c>
      <c r="B449" t="inlineStr">
        <is>
          <t>LIBRE</t>
        </is>
      </c>
      <c r="C449" s="14" t="n"/>
      <c r="E449" s="15">
        <f>IF($G449&lt;&gt;"PAGADO","",IFERROR(IF(VLOOKUP($A449,COMPRADORES!$A:$D,4,FALSE)="NO","Reservado",LEFT(VLOOKUP($A449,COMPRADORES!$A:$D,2,FALSE),3)&amp;"***"&amp;IF(TRIM(MID(VLOOKUP($A449,COMPRADORES!$A:$D,2,FALSE)&amp;" ",FIND(" ",VLOOKUP($A449,COMPRADORES!$A:$D,2,FALSE)&amp;" ")+1,99))="",""," "&amp;LEFT(TRIM(MID(VLOOKUP($A449,COMPRADORES!$A:$D,2,FALSE)&amp;" ",FIND(" ",VLOOKUP($A449,COMPRADORES!$A:$D,2,FALSE)&amp;" ")+1,99)),1)&amp;".")),""))</f>
        <v/>
      </c>
      <c r="F449" s="16">
        <f>IF($B449="PAGADO",MID("ABCDEFGHIJ",INT(VALUE($A449)/100)+1,1)&amp;"-"&amp;$A449,"")</f>
        <v/>
      </c>
      <c r="G449" s="16">
        <f>IF($B449="PAGADO","PAGADO",IF($B449="APARTADO",IF(NOT(ISNUMBER($C449)),"APARTADO",IF($C449&lt;1,"APARTADO",IF(NOW()-$C449&gt;1,"LIBRE","APARTADO"))),"LIBRE"))</f>
        <v/>
      </c>
      <c r="H449" s="15">
        <f>IF($G449&lt;&gt;"APARTADO","",IF(NOT(ISNUMBER($C449)),"FALTA LA HORA",IF($C449&lt;1,"FALTA LA FECHA",TEXT($C449+1,"dd/mm hh:mm"))))</f>
        <v/>
      </c>
    </row>
    <row r="450">
      <c r="A450" s="13" t="inlineStr">
        <is>
          <t>448</t>
        </is>
      </c>
      <c r="B450" t="inlineStr">
        <is>
          <t>LIBRE</t>
        </is>
      </c>
      <c r="C450" s="14" t="n"/>
      <c r="E450" s="15">
        <f>IF($G450&lt;&gt;"PAGADO","",IFERROR(IF(VLOOKUP($A450,COMPRADORES!$A:$D,4,FALSE)="NO","Reservado",LEFT(VLOOKUP($A450,COMPRADORES!$A:$D,2,FALSE),3)&amp;"***"&amp;IF(TRIM(MID(VLOOKUP($A450,COMPRADORES!$A:$D,2,FALSE)&amp;" ",FIND(" ",VLOOKUP($A450,COMPRADORES!$A:$D,2,FALSE)&amp;" ")+1,99))="",""," "&amp;LEFT(TRIM(MID(VLOOKUP($A450,COMPRADORES!$A:$D,2,FALSE)&amp;" ",FIND(" ",VLOOKUP($A450,COMPRADORES!$A:$D,2,FALSE)&amp;" ")+1,99)),1)&amp;".")),""))</f>
        <v/>
      </c>
      <c r="F450" s="16">
        <f>IF($B450="PAGADO",MID("ABCDEFGHIJ",INT(VALUE($A450)/100)+1,1)&amp;"-"&amp;$A450,"")</f>
        <v/>
      </c>
      <c r="G450" s="16">
        <f>IF($B450="PAGADO","PAGADO",IF($B450="APARTADO",IF(NOT(ISNUMBER($C450)),"APARTADO",IF($C450&lt;1,"APARTADO",IF(NOW()-$C450&gt;1,"LIBRE","APARTADO"))),"LIBRE"))</f>
        <v/>
      </c>
      <c r="H450" s="15">
        <f>IF($G450&lt;&gt;"APARTADO","",IF(NOT(ISNUMBER($C450)),"FALTA LA HORA",IF($C450&lt;1,"FALTA LA FECHA",TEXT($C450+1,"dd/mm hh:mm"))))</f>
        <v/>
      </c>
    </row>
    <row r="451">
      <c r="A451" s="13" t="inlineStr">
        <is>
          <t>449</t>
        </is>
      </c>
      <c r="B451" t="inlineStr">
        <is>
          <t>LIBRE</t>
        </is>
      </c>
      <c r="C451" s="14" t="n"/>
      <c r="E451" s="15">
        <f>IF($G451&lt;&gt;"PAGADO","",IFERROR(IF(VLOOKUP($A451,COMPRADORES!$A:$D,4,FALSE)="NO","Reservado",LEFT(VLOOKUP($A451,COMPRADORES!$A:$D,2,FALSE),3)&amp;"***"&amp;IF(TRIM(MID(VLOOKUP($A451,COMPRADORES!$A:$D,2,FALSE)&amp;" ",FIND(" ",VLOOKUP($A451,COMPRADORES!$A:$D,2,FALSE)&amp;" ")+1,99))="",""," "&amp;LEFT(TRIM(MID(VLOOKUP($A451,COMPRADORES!$A:$D,2,FALSE)&amp;" ",FIND(" ",VLOOKUP($A451,COMPRADORES!$A:$D,2,FALSE)&amp;" ")+1,99)),1)&amp;".")),""))</f>
        <v/>
      </c>
      <c r="F451" s="16">
        <f>IF($B451="PAGADO",MID("ABCDEFGHIJ",INT(VALUE($A451)/100)+1,1)&amp;"-"&amp;$A451,"")</f>
        <v/>
      </c>
      <c r="G451" s="16">
        <f>IF($B451="PAGADO","PAGADO",IF($B451="APARTADO",IF(NOT(ISNUMBER($C451)),"APARTADO",IF($C451&lt;1,"APARTADO",IF(NOW()-$C451&gt;1,"LIBRE","APARTADO"))),"LIBRE"))</f>
        <v/>
      </c>
      <c r="H451" s="15">
        <f>IF($G451&lt;&gt;"APARTADO","",IF(NOT(ISNUMBER($C451)),"FALTA LA HORA",IF($C451&lt;1,"FALTA LA FECHA",TEXT($C451+1,"dd/mm hh:mm"))))</f>
        <v/>
      </c>
    </row>
    <row r="452">
      <c r="A452" s="13" t="inlineStr">
        <is>
          <t>450</t>
        </is>
      </c>
      <c r="B452" t="inlineStr">
        <is>
          <t>LIBRE</t>
        </is>
      </c>
      <c r="C452" s="14" t="n"/>
      <c r="E452" s="15">
        <f>IF($G452&lt;&gt;"PAGADO","",IFERROR(IF(VLOOKUP($A452,COMPRADORES!$A:$D,4,FALSE)="NO","Reservado",LEFT(VLOOKUP($A452,COMPRADORES!$A:$D,2,FALSE),3)&amp;"***"&amp;IF(TRIM(MID(VLOOKUP($A452,COMPRADORES!$A:$D,2,FALSE)&amp;" ",FIND(" ",VLOOKUP($A452,COMPRADORES!$A:$D,2,FALSE)&amp;" ")+1,99))="",""," "&amp;LEFT(TRIM(MID(VLOOKUP($A452,COMPRADORES!$A:$D,2,FALSE)&amp;" ",FIND(" ",VLOOKUP($A452,COMPRADORES!$A:$D,2,FALSE)&amp;" ")+1,99)),1)&amp;".")),""))</f>
        <v/>
      </c>
      <c r="F452" s="16">
        <f>IF($B452="PAGADO",MID("ABCDEFGHIJ",INT(VALUE($A452)/100)+1,1)&amp;"-"&amp;$A452,"")</f>
        <v/>
      </c>
      <c r="G452" s="16">
        <f>IF($B452="PAGADO","PAGADO",IF($B452="APARTADO",IF(NOT(ISNUMBER($C452)),"APARTADO",IF($C452&lt;1,"APARTADO",IF(NOW()-$C452&gt;1,"LIBRE","APARTADO"))),"LIBRE"))</f>
        <v/>
      </c>
      <c r="H452" s="15">
        <f>IF($G452&lt;&gt;"APARTADO","",IF(NOT(ISNUMBER($C452)),"FALTA LA HORA",IF($C452&lt;1,"FALTA LA FECHA",TEXT($C452+1,"dd/mm hh:mm"))))</f>
        <v/>
      </c>
    </row>
    <row r="453">
      <c r="A453" s="13" t="inlineStr">
        <is>
          <t>451</t>
        </is>
      </c>
      <c r="B453" t="inlineStr">
        <is>
          <t>LIBRE</t>
        </is>
      </c>
      <c r="C453" s="14" t="n"/>
      <c r="E453" s="15">
        <f>IF($G453&lt;&gt;"PAGADO","",IFERROR(IF(VLOOKUP($A453,COMPRADORES!$A:$D,4,FALSE)="NO","Reservado",LEFT(VLOOKUP($A453,COMPRADORES!$A:$D,2,FALSE),3)&amp;"***"&amp;IF(TRIM(MID(VLOOKUP($A453,COMPRADORES!$A:$D,2,FALSE)&amp;" ",FIND(" ",VLOOKUP($A453,COMPRADORES!$A:$D,2,FALSE)&amp;" ")+1,99))="",""," "&amp;LEFT(TRIM(MID(VLOOKUP($A453,COMPRADORES!$A:$D,2,FALSE)&amp;" ",FIND(" ",VLOOKUP($A453,COMPRADORES!$A:$D,2,FALSE)&amp;" ")+1,99)),1)&amp;".")),""))</f>
        <v/>
      </c>
      <c r="F453" s="16">
        <f>IF($B453="PAGADO",MID("ABCDEFGHIJ",INT(VALUE($A453)/100)+1,1)&amp;"-"&amp;$A453,"")</f>
        <v/>
      </c>
      <c r="G453" s="16">
        <f>IF($B453="PAGADO","PAGADO",IF($B453="APARTADO",IF(NOT(ISNUMBER($C453)),"APARTADO",IF($C453&lt;1,"APARTADO",IF(NOW()-$C453&gt;1,"LIBRE","APARTADO"))),"LIBRE"))</f>
        <v/>
      </c>
      <c r="H453" s="15">
        <f>IF($G453&lt;&gt;"APARTADO","",IF(NOT(ISNUMBER($C453)),"FALTA LA HORA",IF($C453&lt;1,"FALTA LA FECHA",TEXT($C453+1,"dd/mm hh:mm"))))</f>
        <v/>
      </c>
    </row>
    <row r="454">
      <c r="A454" s="13" t="inlineStr">
        <is>
          <t>452</t>
        </is>
      </c>
      <c r="B454" t="inlineStr">
        <is>
          <t>LIBRE</t>
        </is>
      </c>
      <c r="C454" s="14" t="n"/>
      <c r="E454" s="15">
        <f>IF($G454&lt;&gt;"PAGADO","",IFERROR(IF(VLOOKUP($A454,COMPRADORES!$A:$D,4,FALSE)="NO","Reservado",LEFT(VLOOKUP($A454,COMPRADORES!$A:$D,2,FALSE),3)&amp;"***"&amp;IF(TRIM(MID(VLOOKUP($A454,COMPRADORES!$A:$D,2,FALSE)&amp;" ",FIND(" ",VLOOKUP($A454,COMPRADORES!$A:$D,2,FALSE)&amp;" ")+1,99))="",""," "&amp;LEFT(TRIM(MID(VLOOKUP($A454,COMPRADORES!$A:$D,2,FALSE)&amp;" ",FIND(" ",VLOOKUP($A454,COMPRADORES!$A:$D,2,FALSE)&amp;" ")+1,99)),1)&amp;".")),""))</f>
        <v/>
      </c>
      <c r="F454" s="16">
        <f>IF($B454="PAGADO",MID("ABCDEFGHIJ",INT(VALUE($A454)/100)+1,1)&amp;"-"&amp;$A454,"")</f>
        <v/>
      </c>
      <c r="G454" s="16">
        <f>IF($B454="PAGADO","PAGADO",IF($B454="APARTADO",IF(NOT(ISNUMBER($C454)),"APARTADO",IF($C454&lt;1,"APARTADO",IF(NOW()-$C454&gt;1,"LIBRE","APARTADO"))),"LIBRE"))</f>
        <v/>
      </c>
      <c r="H454" s="15">
        <f>IF($G454&lt;&gt;"APARTADO","",IF(NOT(ISNUMBER($C454)),"FALTA LA HORA",IF($C454&lt;1,"FALTA LA FECHA",TEXT($C454+1,"dd/mm hh:mm"))))</f>
        <v/>
      </c>
    </row>
    <row r="455">
      <c r="A455" s="13" t="inlineStr">
        <is>
          <t>453</t>
        </is>
      </c>
      <c r="B455" t="inlineStr">
        <is>
          <t>LIBRE</t>
        </is>
      </c>
      <c r="C455" s="14" t="n"/>
      <c r="E455" s="15">
        <f>IF($G455&lt;&gt;"PAGADO","",IFERROR(IF(VLOOKUP($A455,COMPRADORES!$A:$D,4,FALSE)="NO","Reservado",LEFT(VLOOKUP($A455,COMPRADORES!$A:$D,2,FALSE),3)&amp;"***"&amp;IF(TRIM(MID(VLOOKUP($A455,COMPRADORES!$A:$D,2,FALSE)&amp;" ",FIND(" ",VLOOKUP($A455,COMPRADORES!$A:$D,2,FALSE)&amp;" ")+1,99))="",""," "&amp;LEFT(TRIM(MID(VLOOKUP($A455,COMPRADORES!$A:$D,2,FALSE)&amp;" ",FIND(" ",VLOOKUP($A455,COMPRADORES!$A:$D,2,FALSE)&amp;" ")+1,99)),1)&amp;".")),""))</f>
        <v/>
      </c>
      <c r="F455" s="16">
        <f>IF($B455="PAGADO",MID("ABCDEFGHIJ",INT(VALUE($A455)/100)+1,1)&amp;"-"&amp;$A455,"")</f>
        <v/>
      </c>
      <c r="G455" s="16">
        <f>IF($B455="PAGADO","PAGADO",IF($B455="APARTADO",IF(NOT(ISNUMBER($C455)),"APARTADO",IF($C455&lt;1,"APARTADO",IF(NOW()-$C455&gt;1,"LIBRE","APARTADO"))),"LIBRE"))</f>
        <v/>
      </c>
      <c r="H455" s="15">
        <f>IF($G455&lt;&gt;"APARTADO","",IF(NOT(ISNUMBER($C455)),"FALTA LA HORA",IF($C455&lt;1,"FALTA LA FECHA",TEXT($C455+1,"dd/mm hh:mm"))))</f>
        <v/>
      </c>
    </row>
    <row r="456">
      <c r="A456" s="13" t="inlineStr">
        <is>
          <t>454</t>
        </is>
      </c>
      <c r="B456" t="inlineStr">
        <is>
          <t>LIBRE</t>
        </is>
      </c>
      <c r="C456" s="14" t="n"/>
      <c r="E456" s="15">
        <f>IF($G456&lt;&gt;"PAGADO","",IFERROR(IF(VLOOKUP($A456,COMPRADORES!$A:$D,4,FALSE)="NO","Reservado",LEFT(VLOOKUP($A456,COMPRADORES!$A:$D,2,FALSE),3)&amp;"***"&amp;IF(TRIM(MID(VLOOKUP($A456,COMPRADORES!$A:$D,2,FALSE)&amp;" ",FIND(" ",VLOOKUP($A456,COMPRADORES!$A:$D,2,FALSE)&amp;" ")+1,99))="",""," "&amp;LEFT(TRIM(MID(VLOOKUP($A456,COMPRADORES!$A:$D,2,FALSE)&amp;" ",FIND(" ",VLOOKUP($A456,COMPRADORES!$A:$D,2,FALSE)&amp;" ")+1,99)),1)&amp;".")),""))</f>
        <v/>
      </c>
      <c r="F456" s="16">
        <f>IF($B456="PAGADO",MID("ABCDEFGHIJ",INT(VALUE($A456)/100)+1,1)&amp;"-"&amp;$A456,"")</f>
        <v/>
      </c>
      <c r="G456" s="16">
        <f>IF($B456="PAGADO","PAGADO",IF($B456="APARTADO",IF(NOT(ISNUMBER($C456)),"APARTADO",IF($C456&lt;1,"APARTADO",IF(NOW()-$C456&gt;1,"LIBRE","APARTADO"))),"LIBRE"))</f>
        <v/>
      </c>
      <c r="H456" s="15">
        <f>IF($G456&lt;&gt;"APARTADO","",IF(NOT(ISNUMBER($C456)),"FALTA LA HORA",IF($C456&lt;1,"FALTA LA FECHA",TEXT($C456+1,"dd/mm hh:mm"))))</f>
        <v/>
      </c>
    </row>
    <row r="457">
      <c r="A457" s="13" t="inlineStr">
        <is>
          <t>455</t>
        </is>
      </c>
      <c r="B457" t="inlineStr">
        <is>
          <t>LIBRE</t>
        </is>
      </c>
      <c r="C457" s="14" t="n"/>
      <c r="E457" s="15">
        <f>IF($G457&lt;&gt;"PAGADO","",IFERROR(IF(VLOOKUP($A457,COMPRADORES!$A:$D,4,FALSE)="NO","Reservado",LEFT(VLOOKUP($A457,COMPRADORES!$A:$D,2,FALSE),3)&amp;"***"&amp;IF(TRIM(MID(VLOOKUP($A457,COMPRADORES!$A:$D,2,FALSE)&amp;" ",FIND(" ",VLOOKUP($A457,COMPRADORES!$A:$D,2,FALSE)&amp;" ")+1,99))="",""," "&amp;LEFT(TRIM(MID(VLOOKUP($A457,COMPRADORES!$A:$D,2,FALSE)&amp;" ",FIND(" ",VLOOKUP($A457,COMPRADORES!$A:$D,2,FALSE)&amp;" ")+1,99)),1)&amp;".")),""))</f>
        <v/>
      </c>
      <c r="F457" s="16">
        <f>IF($B457="PAGADO",MID("ABCDEFGHIJ",INT(VALUE($A457)/100)+1,1)&amp;"-"&amp;$A457,"")</f>
        <v/>
      </c>
      <c r="G457" s="16">
        <f>IF($B457="PAGADO","PAGADO",IF($B457="APARTADO",IF(NOT(ISNUMBER($C457)),"APARTADO",IF($C457&lt;1,"APARTADO",IF(NOW()-$C457&gt;1,"LIBRE","APARTADO"))),"LIBRE"))</f>
        <v/>
      </c>
      <c r="H457" s="15">
        <f>IF($G457&lt;&gt;"APARTADO","",IF(NOT(ISNUMBER($C457)),"FALTA LA HORA",IF($C457&lt;1,"FALTA LA FECHA",TEXT($C457+1,"dd/mm hh:mm"))))</f>
        <v/>
      </c>
    </row>
    <row r="458">
      <c r="A458" s="13" t="inlineStr">
        <is>
          <t>456</t>
        </is>
      </c>
      <c r="B458" t="inlineStr">
        <is>
          <t>LIBRE</t>
        </is>
      </c>
      <c r="C458" s="14" t="n"/>
      <c r="E458" s="15">
        <f>IF($G458&lt;&gt;"PAGADO","",IFERROR(IF(VLOOKUP($A458,COMPRADORES!$A:$D,4,FALSE)="NO","Reservado",LEFT(VLOOKUP($A458,COMPRADORES!$A:$D,2,FALSE),3)&amp;"***"&amp;IF(TRIM(MID(VLOOKUP($A458,COMPRADORES!$A:$D,2,FALSE)&amp;" ",FIND(" ",VLOOKUP($A458,COMPRADORES!$A:$D,2,FALSE)&amp;" ")+1,99))="",""," "&amp;LEFT(TRIM(MID(VLOOKUP($A458,COMPRADORES!$A:$D,2,FALSE)&amp;" ",FIND(" ",VLOOKUP($A458,COMPRADORES!$A:$D,2,FALSE)&amp;" ")+1,99)),1)&amp;".")),""))</f>
        <v/>
      </c>
      <c r="F458" s="16">
        <f>IF($B458="PAGADO",MID("ABCDEFGHIJ",INT(VALUE($A458)/100)+1,1)&amp;"-"&amp;$A458,"")</f>
        <v/>
      </c>
      <c r="G458" s="16">
        <f>IF($B458="PAGADO","PAGADO",IF($B458="APARTADO",IF(NOT(ISNUMBER($C458)),"APARTADO",IF($C458&lt;1,"APARTADO",IF(NOW()-$C458&gt;1,"LIBRE","APARTADO"))),"LIBRE"))</f>
        <v/>
      </c>
      <c r="H458" s="15">
        <f>IF($G458&lt;&gt;"APARTADO","",IF(NOT(ISNUMBER($C458)),"FALTA LA HORA",IF($C458&lt;1,"FALTA LA FECHA",TEXT($C458+1,"dd/mm hh:mm"))))</f>
        <v/>
      </c>
    </row>
    <row r="459">
      <c r="A459" s="13" t="inlineStr">
        <is>
          <t>457</t>
        </is>
      </c>
      <c r="B459" t="inlineStr">
        <is>
          <t>LIBRE</t>
        </is>
      </c>
      <c r="C459" s="14" t="n"/>
      <c r="E459" s="15">
        <f>IF($G459&lt;&gt;"PAGADO","",IFERROR(IF(VLOOKUP($A459,COMPRADORES!$A:$D,4,FALSE)="NO","Reservado",LEFT(VLOOKUP($A459,COMPRADORES!$A:$D,2,FALSE),3)&amp;"***"&amp;IF(TRIM(MID(VLOOKUP($A459,COMPRADORES!$A:$D,2,FALSE)&amp;" ",FIND(" ",VLOOKUP($A459,COMPRADORES!$A:$D,2,FALSE)&amp;" ")+1,99))="",""," "&amp;LEFT(TRIM(MID(VLOOKUP($A459,COMPRADORES!$A:$D,2,FALSE)&amp;" ",FIND(" ",VLOOKUP($A459,COMPRADORES!$A:$D,2,FALSE)&amp;" ")+1,99)),1)&amp;".")),""))</f>
        <v/>
      </c>
      <c r="F459" s="16">
        <f>IF($B459="PAGADO",MID("ABCDEFGHIJ",INT(VALUE($A459)/100)+1,1)&amp;"-"&amp;$A459,"")</f>
        <v/>
      </c>
      <c r="G459" s="16">
        <f>IF($B459="PAGADO","PAGADO",IF($B459="APARTADO",IF(NOT(ISNUMBER($C459)),"APARTADO",IF($C459&lt;1,"APARTADO",IF(NOW()-$C459&gt;1,"LIBRE","APARTADO"))),"LIBRE"))</f>
        <v/>
      </c>
      <c r="H459" s="15">
        <f>IF($G459&lt;&gt;"APARTADO","",IF(NOT(ISNUMBER($C459)),"FALTA LA HORA",IF($C459&lt;1,"FALTA LA FECHA",TEXT($C459+1,"dd/mm hh:mm"))))</f>
        <v/>
      </c>
    </row>
    <row r="460">
      <c r="A460" s="13" t="inlineStr">
        <is>
          <t>458</t>
        </is>
      </c>
      <c r="B460" t="inlineStr">
        <is>
          <t>LIBRE</t>
        </is>
      </c>
      <c r="C460" s="14" t="n"/>
      <c r="E460" s="15">
        <f>IF($G460&lt;&gt;"PAGADO","",IFERROR(IF(VLOOKUP($A460,COMPRADORES!$A:$D,4,FALSE)="NO","Reservado",LEFT(VLOOKUP($A460,COMPRADORES!$A:$D,2,FALSE),3)&amp;"***"&amp;IF(TRIM(MID(VLOOKUP($A460,COMPRADORES!$A:$D,2,FALSE)&amp;" ",FIND(" ",VLOOKUP($A460,COMPRADORES!$A:$D,2,FALSE)&amp;" ")+1,99))="",""," "&amp;LEFT(TRIM(MID(VLOOKUP($A460,COMPRADORES!$A:$D,2,FALSE)&amp;" ",FIND(" ",VLOOKUP($A460,COMPRADORES!$A:$D,2,FALSE)&amp;" ")+1,99)),1)&amp;".")),""))</f>
        <v/>
      </c>
      <c r="F460" s="16">
        <f>IF($B460="PAGADO",MID("ABCDEFGHIJ",INT(VALUE($A460)/100)+1,1)&amp;"-"&amp;$A460,"")</f>
        <v/>
      </c>
      <c r="G460" s="16">
        <f>IF($B460="PAGADO","PAGADO",IF($B460="APARTADO",IF(NOT(ISNUMBER($C460)),"APARTADO",IF($C460&lt;1,"APARTADO",IF(NOW()-$C460&gt;1,"LIBRE","APARTADO"))),"LIBRE"))</f>
        <v/>
      </c>
      <c r="H460" s="15">
        <f>IF($G460&lt;&gt;"APARTADO","",IF(NOT(ISNUMBER($C460)),"FALTA LA HORA",IF($C460&lt;1,"FALTA LA FECHA",TEXT($C460+1,"dd/mm hh:mm"))))</f>
        <v/>
      </c>
    </row>
    <row r="461">
      <c r="A461" s="13" t="inlineStr">
        <is>
          <t>459</t>
        </is>
      </c>
      <c r="B461" t="inlineStr">
        <is>
          <t>LIBRE</t>
        </is>
      </c>
      <c r="C461" s="14" t="n"/>
      <c r="E461" s="15">
        <f>IF($G461&lt;&gt;"PAGADO","",IFERROR(IF(VLOOKUP($A461,COMPRADORES!$A:$D,4,FALSE)="NO","Reservado",LEFT(VLOOKUP($A461,COMPRADORES!$A:$D,2,FALSE),3)&amp;"***"&amp;IF(TRIM(MID(VLOOKUP($A461,COMPRADORES!$A:$D,2,FALSE)&amp;" ",FIND(" ",VLOOKUP($A461,COMPRADORES!$A:$D,2,FALSE)&amp;" ")+1,99))="",""," "&amp;LEFT(TRIM(MID(VLOOKUP($A461,COMPRADORES!$A:$D,2,FALSE)&amp;" ",FIND(" ",VLOOKUP($A461,COMPRADORES!$A:$D,2,FALSE)&amp;" ")+1,99)),1)&amp;".")),""))</f>
        <v/>
      </c>
      <c r="F461" s="16">
        <f>IF($B461="PAGADO",MID("ABCDEFGHIJ",INT(VALUE($A461)/100)+1,1)&amp;"-"&amp;$A461,"")</f>
        <v/>
      </c>
      <c r="G461" s="16">
        <f>IF($B461="PAGADO","PAGADO",IF($B461="APARTADO",IF(NOT(ISNUMBER($C461)),"APARTADO",IF($C461&lt;1,"APARTADO",IF(NOW()-$C461&gt;1,"LIBRE","APARTADO"))),"LIBRE"))</f>
        <v/>
      </c>
      <c r="H461" s="15">
        <f>IF($G461&lt;&gt;"APARTADO","",IF(NOT(ISNUMBER($C461)),"FALTA LA HORA",IF($C461&lt;1,"FALTA LA FECHA",TEXT($C461+1,"dd/mm hh:mm"))))</f>
        <v/>
      </c>
    </row>
    <row r="462">
      <c r="A462" s="13" t="inlineStr">
        <is>
          <t>460</t>
        </is>
      </c>
      <c r="B462" t="inlineStr">
        <is>
          <t>LIBRE</t>
        </is>
      </c>
      <c r="C462" s="14" t="n"/>
      <c r="E462" s="15">
        <f>IF($G462&lt;&gt;"PAGADO","",IFERROR(IF(VLOOKUP($A462,COMPRADORES!$A:$D,4,FALSE)="NO","Reservado",LEFT(VLOOKUP($A462,COMPRADORES!$A:$D,2,FALSE),3)&amp;"***"&amp;IF(TRIM(MID(VLOOKUP($A462,COMPRADORES!$A:$D,2,FALSE)&amp;" ",FIND(" ",VLOOKUP($A462,COMPRADORES!$A:$D,2,FALSE)&amp;" ")+1,99))="",""," "&amp;LEFT(TRIM(MID(VLOOKUP($A462,COMPRADORES!$A:$D,2,FALSE)&amp;" ",FIND(" ",VLOOKUP($A462,COMPRADORES!$A:$D,2,FALSE)&amp;" ")+1,99)),1)&amp;".")),""))</f>
        <v/>
      </c>
      <c r="F462" s="16">
        <f>IF($B462="PAGADO",MID("ABCDEFGHIJ",INT(VALUE($A462)/100)+1,1)&amp;"-"&amp;$A462,"")</f>
        <v/>
      </c>
      <c r="G462" s="16">
        <f>IF($B462="PAGADO","PAGADO",IF($B462="APARTADO",IF(NOT(ISNUMBER($C462)),"APARTADO",IF($C462&lt;1,"APARTADO",IF(NOW()-$C462&gt;1,"LIBRE","APARTADO"))),"LIBRE"))</f>
        <v/>
      </c>
      <c r="H462" s="15">
        <f>IF($G462&lt;&gt;"APARTADO","",IF(NOT(ISNUMBER($C462)),"FALTA LA HORA",IF($C462&lt;1,"FALTA LA FECHA",TEXT($C462+1,"dd/mm hh:mm"))))</f>
        <v/>
      </c>
    </row>
    <row r="463">
      <c r="A463" s="13" t="inlineStr">
        <is>
          <t>461</t>
        </is>
      </c>
      <c r="B463" t="inlineStr">
        <is>
          <t>LIBRE</t>
        </is>
      </c>
      <c r="C463" s="14" t="n"/>
      <c r="E463" s="15">
        <f>IF($G463&lt;&gt;"PAGADO","",IFERROR(IF(VLOOKUP($A463,COMPRADORES!$A:$D,4,FALSE)="NO","Reservado",LEFT(VLOOKUP($A463,COMPRADORES!$A:$D,2,FALSE),3)&amp;"***"&amp;IF(TRIM(MID(VLOOKUP($A463,COMPRADORES!$A:$D,2,FALSE)&amp;" ",FIND(" ",VLOOKUP($A463,COMPRADORES!$A:$D,2,FALSE)&amp;" ")+1,99))="",""," "&amp;LEFT(TRIM(MID(VLOOKUP($A463,COMPRADORES!$A:$D,2,FALSE)&amp;" ",FIND(" ",VLOOKUP($A463,COMPRADORES!$A:$D,2,FALSE)&amp;" ")+1,99)),1)&amp;".")),""))</f>
        <v/>
      </c>
      <c r="F463" s="16">
        <f>IF($B463="PAGADO",MID("ABCDEFGHIJ",INT(VALUE($A463)/100)+1,1)&amp;"-"&amp;$A463,"")</f>
        <v/>
      </c>
      <c r="G463" s="16">
        <f>IF($B463="PAGADO","PAGADO",IF($B463="APARTADO",IF(NOT(ISNUMBER($C463)),"APARTADO",IF($C463&lt;1,"APARTADO",IF(NOW()-$C463&gt;1,"LIBRE","APARTADO"))),"LIBRE"))</f>
        <v/>
      </c>
      <c r="H463" s="15">
        <f>IF($G463&lt;&gt;"APARTADO","",IF(NOT(ISNUMBER($C463)),"FALTA LA HORA",IF($C463&lt;1,"FALTA LA FECHA",TEXT($C463+1,"dd/mm hh:mm"))))</f>
        <v/>
      </c>
    </row>
    <row r="464">
      <c r="A464" s="13" t="inlineStr">
        <is>
          <t>462</t>
        </is>
      </c>
      <c r="B464" t="inlineStr">
        <is>
          <t>LIBRE</t>
        </is>
      </c>
      <c r="C464" s="14" t="n"/>
      <c r="E464" s="15">
        <f>IF($G464&lt;&gt;"PAGADO","",IFERROR(IF(VLOOKUP($A464,COMPRADORES!$A:$D,4,FALSE)="NO","Reservado",LEFT(VLOOKUP($A464,COMPRADORES!$A:$D,2,FALSE),3)&amp;"***"&amp;IF(TRIM(MID(VLOOKUP($A464,COMPRADORES!$A:$D,2,FALSE)&amp;" ",FIND(" ",VLOOKUP($A464,COMPRADORES!$A:$D,2,FALSE)&amp;" ")+1,99))="",""," "&amp;LEFT(TRIM(MID(VLOOKUP($A464,COMPRADORES!$A:$D,2,FALSE)&amp;" ",FIND(" ",VLOOKUP($A464,COMPRADORES!$A:$D,2,FALSE)&amp;" ")+1,99)),1)&amp;".")),""))</f>
        <v/>
      </c>
      <c r="F464" s="16">
        <f>IF($B464="PAGADO",MID("ABCDEFGHIJ",INT(VALUE($A464)/100)+1,1)&amp;"-"&amp;$A464,"")</f>
        <v/>
      </c>
      <c r="G464" s="16">
        <f>IF($B464="PAGADO","PAGADO",IF($B464="APARTADO",IF(NOT(ISNUMBER($C464)),"APARTADO",IF($C464&lt;1,"APARTADO",IF(NOW()-$C464&gt;1,"LIBRE","APARTADO"))),"LIBRE"))</f>
        <v/>
      </c>
      <c r="H464" s="15">
        <f>IF($G464&lt;&gt;"APARTADO","",IF(NOT(ISNUMBER($C464)),"FALTA LA HORA",IF($C464&lt;1,"FALTA LA FECHA",TEXT($C464+1,"dd/mm hh:mm"))))</f>
        <v/>
      </c>
    </row>
    <row r="465">
      <c r="A465" s="13" t="inlineStr">
        <is>
          <t>463</t>
        </is>
      </c>
      <c r="B465" t="inlineStr">
        <is>
          <t>LIBRE</t>
        </is>
      </c>
      <c r="C465" s="14" t="n"/>
      <c r="E465" s="15">
        <f>IF($G465&lt;&gt;"PAGADO","",IFERROR(IF(VLOOKUP($A465,COMPRADORES!$A:$D,4,FALSE)="NO","Reservado",LEFT(VLOOKUP($A465,COMPRADORES!$A:$D,2,FALSE),3)&amp;"***"&amp;IF(TRIM(MID(VLOOKUP($A465,COMPRADORES!$A:$D,2,FALSE)&amp;" ",FIND(" ",VLOOKUP($A465,COMPRADORES!$A:$D,2,FALSE)&amp;" ")+1,99))="",""," "&amp;LEFT(TRIM(MID(VLOOKUP($A465,COMPRADORES!$A:$D,2,FALSE)&amp;" ",FIND(" ",VLOOKUP($A465,COMPRADORES!$A:$D,2,FALSE)&amp;" ")+1,99)),1)&amp;".")),""))</f>
        <v/>
      </c>
      <c r="F465" s="16">
        <f>IF($B465="PAGADO",MID("ABCDEFGHIJ",INT(VALUE($A465)/100)+1,1)&amp;"-"&amp;$A465,"")</f>
        <v/>
      </c>
      <c r="G465" s="16">
        <f>IF($B465="PAGADO","PAGADO",IF($B465="APARTADO",IF(NOT(ISNUMBER($C465)),"APARTADO",IF($C465&lt;1,"APARTADO",IF(NOW()-$C465&gt;1,"LIBRE","APARTADO"))),"LIBRE"))</f>
        <v/>
      </c>
      <c r="H465" s="15">
        <f>IF($G465&lt;&gt;"APARTADO","",IF(NOT(ISNUMBER($C465)),"FALTA LA HORA",IF($C465&lt;1,"FALTA LA FECHA",TEXT($C465+1,"dd/mm hh:mm"))))</f>
        <v/>
      </c>
    </row>
    <row r="466">
      <c r="A466" s="13" t="inlineStr">
        <is>
          <t>464</t>
        </is>
      </c>
      <c r="B466" t="inlineStr">
        <is>
          <t>LIBRE</t>
        </is>
      </c>
      <c r="C466" s="14" t="n"/>
      <c r="E466" s="15">
        <f>IF($G466&lt;&gt;"PAGADO","",IFERROR(IF(VLOOKUP($A466,COMPRADORES!$A:$D,4,FALSE)="NO","Reservado",LEFT(VLOOKUP($A466,COMPRADORES!$A:$D,2,FALSE),3)&amp;"***"&amp;IF(TRIM(MID(VLOOKUP($A466,COMPRADORES!$A:$D,2,FALSE)&amp;" ",FIND(" ",VLOOKUP($A466,COMPRADORES!$A:$D,2,FALSE)&amp;" ")+1,99))="",""," "&amp;LEFT(TRIM(MID(VLOOKUP($A466,COMPRADORES!$A:$D,2,FALSE)&amp;" ",FIND(" ",VLOOKUP($A466,COMPRADORES!$A:$D,2,FALSE)&amp;" ")+1,99)),1)&amp;".")),""))</f>
        <v/>
      </c>
      <c r="F466" s="16">
        <f>IF($B466="PAGADO",MID("ABCDEFGHIJ",INT(VALUE($A466)/100)+1,1)&amp;"-"&amp;$A466,"")</f>
        <v/>
      </c>
      <c r="G466" s="16">
        <f>IF($B466="PAGADO","PAGADO",IF($B466="APARTADO",IF(NOT(ISNUMBER($C466)),"APARTADO",IF($C466&lt;1,"APARTADO",IF(NOW()-$C466&gt;1,"LIBRE","APARTADO"))),"LIBRE"))</f>
        <v/>
      </c>
      <c r="H466" s="15">
        <f>IF($G466&lt;&gt;"APARTADO","",IF(NOT(ISNUMBER($C466)),"FALTA LA HORA",IF($C466&lt;1,"FALTA LA FECHA",TEXT($C466+1,"dd/mm hh:mm"))))</f>
        <v/>
      </c>
    </row>
    <row r="467">
      <c r="A467" s="13" t="inlineStr">
        <is>
          <t>465</t>
        </is>
      </c>
      <c r="B467" t="inlineStr">
        <is>
          <t>LIBRE</t>
        </is>
      </c>
      <c r="C467" s="14" t="n"/>
      <c r="E467" s="15">
        <f>IF($G467&lt;&gt;"PAGADO","",IFERROR(IF(VLOOKUP($A467,COMPRADORES!$A:$D,4,FALSE)="NO","Reservado",LEFT(VLOOKUP($A467,COMPRADORES!$A:$D,2,FALSE),3)&amp;"***"&amp;IF(TRIM(MID(VLOOKUP($A467,COMPRADORES!$A:$D,2,FALSE)&amp;" ",FIND(" ",VLOOKUP($A467,COMPRADORES!$A:$D,2,FALSE)&amp;" ")+1,99))="",""," "&amp;LEFT(TRIM(MID(VLOOKUP($A467,COMPRADORES!$A:$D,2,FALSE)&amp;" ",FIND(" ",VLOOKUP($A467,COMPRADORES!$A:$D,2,FALSE)&amp;" ")+1,99)),1)&amp;".")),""))</f>
        <v/>
      </c>
      <c r="F467" s="16">
        <f>IF($B467="PAGADO",MID("ABCDEFGHIJ",INT(VALUE($A467)/100)+1,1)&amp;"-"&amp;$A467,"")</f>
        <v/>
      </c>
      <c r="G467" s="16">
        <f>IF($B467="PAGADO","PAGADO",IF($B467="APARTADO",IF(NOT(ISNUMBER($C467)),"APARTADO",IF($C467&lt;1,"APARTADO",IF(NOW()-$C467&gt;1,"LIBRE","APARTADO"))),"LIBRE"))</f>
        <v/>
      </c>
      <c r="H467" s="15">
        <f>IF($G467&lt;&gt;"APARTADO","",IF(NOT(ISNUMBER($C467)),"FALTA LA HORA",IF($C467&lt;1,"FALTA LA FECHA",TEXT($C467+1,"dd/mm hh:mm"))))</f>
        <v/>
      </c>
    </row>
    <row r="468">
      <c r="A468" s="13" t="inlineStr">
        <is>
          <t>466</t>
        </is>
      </c>
      <c r="B468" t="inlineStr">
        <is>
          <t>LIBRE</t>
        </is>
      </c>
      <c r="C468" s="14" t="n"/>
      <c r="E468" s="15">
        <f>IF($G468&lt;&gt;"PAGADO","",IFERROR(IF(VLOOKUP($A468,COMPRADORES!$A:$D,4,FALSE)="NO","Reservado",LEFT(VLOOKUP($A468,COMPRADORES!$A:$D,2,FALSE),3)&amp;"***"&amp;IF(TRIM(MID(VLOOKUP($A468,COMPRADORES!$A:$D,2,FALSE)&amp;" ",FIND(" ",VLOOKUP($A468,COMPRADORES!$A:$D,2,FALSE)&amp;" ")+1,99))="",""," "&amp;LEFT(TRIM(MID(VLOOKUP($A468,COMPRADORES!$A:$D,2,FALSE)&amp;" ",FIND(" ",VLOOKUP($A468,COMPRADORES!$A:$D,2,FALSE)&amp;" ")+1,99)),1)&amp;".")),""))</f>
        <v/>
      </c>
      <c r="F468" s="16">
        <f>IF($B468="PAGADO",MID("ABCDEFGHIJ",INT(VALUE($A468)/100)+1,1)&amp;"-"&amp;$A468,"")</f>
        <v/>
      </c>
      <c r="G468" s="16">
        <f>IF($B468="PAGADO","PAGADO",IF($B468="APARTADO",IF(NOT(ISNUMBER($C468)),"APARTADO",IF($C468&lt;1,"APARTADO",IF(NOW()-$C468&gt;1,"LIBRE","APARTADO"))),"LIBRE"))</f>
        <v/>
      </c>
      <c r="H468" s="15">
        <f>IF($G468&lt;&gt;"APARTADO","",IF(NOT(ISNUMBER($C468)),"FALTA LA HORA",IF($C468&lt;1,"FALTA LA FECHA",TEXT($C468+1,"dd/mm hh:mm"))))</f>
        <v/>
      </c>
    </row>
    <row r="469">
      <c r="A469" s="13" t="inlineStr">
        <is>
          <t>467</t>
        </is>
      </c>
      <c r="B469" t="inlineStr">
        <is>
          <t>LIBRE</t>
        </is>
      </c>
      <c r="C469" s="14" t="n"/>
      <c r="E469" s="15">
        <f>IF($G469&lt;&gt;"PAGADO","",IFERROR(IF(VLOOKUP($A469,COMPRADORES!$A:$D,4,FALSE)="NO","Reservado",LEFT(VLOOKUP($A469,COMPRADORES!$A:$D,2,FALSE),3)&amp;"***"&amp;IF(TRIM(MID(VLOOKUP($A469,COMPRADORES!$A:$D,2,FALSE)&amp;" ",FIND(" ",VLOOKUP($A469,COMPRADORES!$A:$D,2,FALSE)&amp;" ")+1,99))="",""," "&amp;LEFT(TRIM(MID(VLOOKUP($A469,COMPRADORES!$A:$D,2,FALSE)&amp;" ",FIND(" ",VLOOKUP($A469,COMPRADORES!$A:$D,2,FALSE)&amp;" ")+1,99)),1)&amp;".")),""))</f>
        <v/>
      </c>
      <c r="F469" s="16">
        <f>IF($B469="PAGADO",MID("ABCDEFGHIJ",INT(VALUE($A469)/100)+1,1)&amp;"-"&amp;$A469,"")</f>
        <v/>
      </c>
      <c r="G469" s="16">
        <f>IF($B469="PAGADO","PAGADO",IF($B469="APARTADO",IF(NOT(ISNUMBER($C469)),"APARTADO",IF($C469&lt;1,"APARTADO",IF(NOW()-$C469&gt;1,"LIBRE","APARTADO"))),"LIBRE"))</f>
        <v/>
      </c>
      <c r="H469" s="15">
        <f>IF($G469&lt;&gt;"APARTADO","",IF(NOT(ISNUMBER($C469)),"FALTA LA HORA",IF($C469&lt;1,"FALTA LA FECHA",TEXT($C469+1,"dd/mm hh:mm"))))</f>
        <v/>
      </c>
    </row>
    <row r="470">
      <c r="A470" s="13" t="inlineStr">
        <is>
          <t>468</t>
        </is>
      </c>
      <c r="B470" t="inlineStr">
        <is>
          <t>LIBRE</t>
        </is>
      </c>
      <c r="C470" s="14" t="n"/>
      <c r="E470" s="15">
        <f>IF($G470&lt;&gt;"PAGADO","",IFERROR(IF(VLOOKUP($A470,COMPRADORES!$A:$D,4,FALSE)="NO","Reservado",LEFT(VLOOKUP($A470,COMPRADORES!$A:$D,2,FALSE),3)&amp;"***"&amp;IF(TRIM(MID(VLOOKUP($A470,COMPRADORES!$A:$D,2,FALSE)&amp;" ",FIND(" ",VLOOKUP($A470,COMPRADORES!$A:$D,2,FALSE)&amp;" ")+1,99))="",""," "&amp;LEFT(TRIM(MID(VLOOKUP($A470,COMPRADORES!$A:$D,2,FALSE)&amp;" ",FIND(" ",VLOOKUP($A470,COMPRADORES!$A:$D,2,FALSE)&amp;" ")+1,99)),1)&amp;".")),""))</f>
        <v/>
      </c>
      <c r="F470" s="16">
        <f>IF($B470="PAGADO",MID("ABCDEFGHIJ",INT(VALUE($A470)/100)+1,1)&amp;"-"&amp;$A470,"")</f>
        <v/>
      </c>
      <c r="G470" s="16">
        <f>IF($B470="PAGADO","PAGADO",IF($B470="APARTADO",IF(NOT(ISNUMBER($C470)),"APARTADO",IF($C470&lt;1,"APARTADO",IF(NOW()-$C470&gt;1,"LIBRE","APARTADO"))),"LIBRE"))</f>
        <v/>
      </c>
      <c r="H470" s="15">
        <f>IF($G470&lt;&gt;"APARTADO","",IF(NOT(ISNUMBER($C470)),"FALTA LA HORA",IF($C470&lt;1,"FALTA LA FECHA",TEXT($C470+1,"dd/mm hh:mm"))))</f>
        <v/>
      </c>
    </row>
    <row r="471">
      <c r="A471" s="13" t="inlineStr">
        <is>
          <t>469</t>
        </is>
      </c>
      <c r="B471" t="inlineStr">
        <is>
          <t>LIBRE</t>
        </is>
      </c>
      <c r="C471" s="14" t="n"/>
      <c r="E471" s="15">
        <f>IF($G471&lt;&gt;"PAGADO","",IFERROR(IF(VLOOKUP($A471,COMPRADORES!$A:$D,4,FALSE)="NO","Reservado",LEFT(VLOOKUP($A471,COMPRADORES!$A:$D,2,FALSE),3)&amp;"***"&amp;IF(TRIM(MID(VLOOKUP($A471,COMPRADORES!$A:$D,2,FALSE)&amp;" ",FIND(" ",VLOOKUP($A471,COMPRADORES!$A:$D,2,FALSE)&amp;" ")+1,99))="",""," "&amp;LEFT(TRIM(MID(VLOOKUP($A471,COMPRADORES!$A:$D,2,FALSE)&amp;" ",FIND(" ",VLOOKUP($A471,COMPRADORES!$A:$D,2,FALSE)&amp;" ")+1,99)),1)&amp;".")),""))</f>
        <v/>
      </c>
      <c r="F471" s="16">
        <f>IF($B471="PAGADO",MID("ABCDEFGHIJ",INT(VALUE($A471)/100)+1,1)&amp;"-"&amp;$A471,"")</f>
        <v/>
      </c>
      <c r="G471" s="16">
        <f>IF($B471="PAGADO","PAGADO",IF($B471="APARTADO",IF(NOT(ISNUMBER($C471)),"APARTADO",IF($C471&lt;1,"APARTADO",IF(NOW()-$C471&gt;1,"LIBRE","APARTADO"))),"LIBRE"))</f>
        <v/>
      </c>
      <c r="H471" s="15">
        <f>IF($G471&lt;&gt;"APARTADO","",IF(NOT(ISNUMBER($C471)),"FALTA LA HORA",IF($C471&lt;1,"FALTA LA FECHA",TEXT($C471+1,"dd/mm hh:mm"))))</f>
        <v/>
      </c>
    </row>
    <row r="472">
      <c r="A472" s="13" t="inlineStr">
        <is>
          <t>470</t>
        </is>
      </c>
      <c r="B472" t="inlineStr">
        <is>
          <t>LIBRE</t>
        </is>
      </c>
      <c r="C472" s="14" t="n"/>
      <c r="E472" s="15">
        <f>IF($G472&lt;&gt;"PAGADO","",IFERROR(IF(VLOOKUP($A472,COMPRADORES!$A:$D,4,FALSE)="NO","Reservado",LEFT(VLOOKUP($A472,COMPRADORES!$A:$D,2,FALSE),3)&amp;"***"&amp;IF(TRIM(MID(VLOOKUP($A472,COMPRADORES!$A:$D,2,FALSE)&amp;" ",FIND(" ",VLOOKUP($A472,COMPRADORES!$A:$D,2,FALSE)&amp;" ")+1,99))="",""," "&amp;LEFT(TRIM(MID(VLOOKUP($A472,COMPRADORES!$A:$D,2,FALSE)&amp;" ",FIND(" ",VLOOKUP($A472,COMPRADORES!$A:$D,2,FALSE)&amp;" ")+1,99)),1)&amp;".")),""))</f>
        <v/>
      </c>
      <c r="F472" s="16">
        <f>IF($B472="PAGADO",MID("ABCDEFGHIJ",INT(VALUE($A472)/100)+1,1)&amp;"-"&amp;$A472,"")</f>
        <v/>
      </c>
      <c r="G472" s="16">
        <f>IF($B472="PAGADO","PAGADO",IF($B472="APARTADO",IF(NOT(ISNUMBER($C472)),"APARTADO",IF($C472&lt;1,"APARTADO",IF(NOW()-$C472&gt;1,"LIBRE","APARTADO"))),"LIBRE"))</f>
        <v/>
      </c>
      <c r="H472" s="15">
        <f>IF($G472&lt;&gt;"APARTADO","",IF(NOT(ISNUMBER($C472)),"FALTA LA HORA",IF($C472&lt;1,"FALTA LA FECHA",TEXT($C472+1,"dd/mm hh:mm"))))</f>
        <v/>
      </c>
    </row>
    <row r="473">
      <c r="A473" s="13" t="inlineStr">
        <is>
          <t>471</t>
        </is>
      </c>
      <c r="B473" t="inlineStr">
        <is>
          <t>LIBRE</t>
        </is>
      </c>
      <c r="C473" s="14" t="n"/>
      <c r="E473" s="15">
        <f>IF($G473&lt;&gt;"PAGADO","",IFERROR(IF(VLOOKUP($A473,COMPRADORES!$A:$D,4,FALSE)="NO","Reservado",LEFT(VLOOKUP($A473,COMPRADORES!$A:$D,2,FALSE),3)&amp;"***"&amp;IF(TRIM(MID(VLOOKUP($A473,COMPRADORES!$A:$D,2,FALSE)&amp;" ",FIND(" ",VLOOKUP($A473,COMPRADORES!$A:$D,2,FALSE)&amp;" ")+1,99))="",""," "&amp;LEFT(TRIM(MID(VLOOKUP($A473,COMPRADORES!$A:$D,2,FALSE)&amp;" ",FIND(" ",VLOOKUP($A473,COMPRADORES!$A:$D,2,FALSE)&amp;" ")+1,99)),1)&amp;".")),""))</f>
        <v/>
      </c>
      <c r="F473" s="16">
        <f>IF($B473="PAGADO",MID("ABCDEFGHIJ",INT(VALUE($A473)/100)+1,1)&amp;"-"&amp;$A473,"")</f>
        <v/>
      </c>
      <c r="G473" s="16">
        <f>IF($B473="PAGADO","PAGADO",IF($B473="APARTADO",IF(NOT(ISNUMBER($C473)),"APARTADO",IF($C473&lt;1,"APARTADO",IF(NOW()-$C473&gt;1,"LIBRE","APARTADO"))),"LIBRE"))</f>
        <v/>
      </c>
      <c r="H473" s="15">
        <f>IF($G473&lt;&gt;"APARTADO","",IF(NOT(ISNUMBER($C473)),"FALTA LA HORA",IF($C473&lt;1,"FALTA LA FECHA",TEXT($C473+1,"dd/mm hh:mm"))))</f>
        <v/>
      </c>
    </row>
    <row r="474">
      <c r="A474" s="13" t="inlineStr">
        <is>
          <t>472</t>
        </is>
      </c>
      <c r="B474" t="inlineStr">
        <is>
          <t>LIBRE</t>
        </is>
      </c>
      <c r="C474" s="14" t="n"/>
      <c r="E474" s="15">
        <f>IF($G474&lt;&gt;"PAGADO","",IFERROR(IF(VLOOKUP($A474,COMPRADORES!$A:$D,4,FALSE)="NO","Reservado",LEFT(VLOOKUP($A474,COMPRADORES!$A:$D,2,FALSE),3)&amp;"***"&amp;IF(TRIM(MID(VLOOKUP($A474,COMPRADORES!$A:$D,2,FALSE)&amp;" ",FIND(" ",VLOOKUP($A474,COMPRADORES!$A:$D,2,FALSE)&amp;" ")+1,99))="",""," "&amp;LEFT(TRIM(MID(VLOOKUP($A474,COMPRADORES!$A:$D,2,FALSE)&amp;" ",FIND(" ",VLOOKUP($A474,COMPRADORES!$A:$D,2,FALSE)&amp;" ")+1,99)),1)&amp;".")),""))</f>
        <v/>
      </c>
      <c r="F474" s="16">
        <f>IF($B474="PAGADO",MID("ABCDEFGHIJ",INT(VALUE($A474)/100)+1,1)&amp;"-"&amp;$A474,"")</f>
        <v/>
      </c>
      <c r="G474" s="16">
        <f>IF($B474="PAGADO","PAGADO",IF($B474="APARTADO",IF(NOT(ISNUMBER($C474)),"APARTADO",IF($C474&lt;1,"APARTADO",IF(NOW()-$C474&gt;1,"LIBRE","APARTADO"))),"LIBRE"))</f>
        <v/>
      </c>
      <c r="H474" s="15">
        <f>IF($G474&lt;&gt;"APARTADO","",IF(NOT(ISNUMBER($C474)),"FALTA LA HORA",IF($C474&lt;1,"FALTA LA FECHA",TEXT($C474+1,"dd/mm hh:mm"))))</f>
        <v/>
      </c>
    </row>
    <row r="475">
      <c r="A475" s="13" t="inlineStr">
        <is>
          <t>473</t>
        </is>
      </c>
      <c r="B475" t="inlineStr">
        <is>
          <t>LIBRE</t>
        </is>
      </c>
      <c r="C475" s="14" t="n"/>
      <c r="E475" s="15">
        <f>IF($G475&lt;&gt;"PAGADO","",IFERROR(IF(VLOOKUP($A475,COMPRADORES!$A:$D,4,FALSE)="NO","Reservado",LEFT(VLOOKUP($A475,COMPRADORES!$A:$D,2,FALSE),3)&amp;"***"&amp;IF(TRIM(MID(VLOOKUP($A475,COMPRADORES!$A:$D,2,FALSE)&amp;" ",FIND(" ",VLOOKUP($A475,COMPRADORES!$A:$D,2,FALSE)&amp;" ")+1,99))="",""," "&amp;LEFT(TRIM(MID(VLOOKUP($A475,COMPRADORES!$A:$D,2,FALSE)&amp;" ",FIND(" ",VLOOKUP($A475,COMPRADORES!$A:$D,2,FALSE)&amp;" ")+1,99)),1)&amp;".")),""))</f>
        <v/>
      </c>
      <c r="F475" s="16">
        <f>IF($B475="PAGADO",MID("ABCDEFGHIJ",INT(VALUE($A475)/100)+1,1)&amp;"-"&amp;$A475,"")</f>
        <v/>
      </c>
      <c r="G475" s="16">
        <f>IF($B475="PAGADO","PAGADO",IF($B475="APARTADO",IF(NOT(ISNUMBER($C475)),"APARTADO",IF($C475&lt;1,"APARTADO",IF(NOW()-$C475&gt;1,"LIBRE","APARTADO"))),"LIBRE"))</f>
        <v/>
      </c>
      <c r="H475" s="15">
        <f>IF($G475&lt;&gt;"APARTADO","",IF(NOT(ISNUMBER($C475)),"FALTA LA HORA",IF($C475&lt;1,"FALTA LA FECHA",TEXT($C475+1,"dd/mm hh:mm"))))</f>
        <v/>
      </c>
    </row>
    <row r="476">
      <c r="A476" s="13" t="inlineStr">
        <is>
          <t>474</t>
        </is>
      </c>
      <c r="B476" t="inlineStr">
        <is>
          <t>LIBRE</t>
        </is>
      </c>
      <c r="C476" s="14" t="n"/>
      <c r="E476" s="15">
        <f>IF($G476&lt;&gt;"PAGADO","",IFERROR(IF(VLOOKUP($A476,COMPRADORES!$A:$D,4,FALSE)="NO","Reservado",LEFT(VLOOKUP($A476,COMPRADORES!$A:$D,2,FALSE),3)&amp;"***"&amp;IF(TRIM(MID(VLOOKUP($A476,COMPRADORES!$A:$D,2,FALSE)&amp;" ",FIND(" ",VLOOKUP($A476,COMPRADORES!$A:$D,2,FALSE)&amp;" ")+1,99))="",""," "&amp;LEFT(TRIM(MID(VLOOKUP($A476,COMPRADORES!$A:$D,2,FALSE)&amp;" ",FIND(" ",VLOOKUP($A476,COMPRADORES!$A:$D,2,FALSE)&amp;" ")+1,99)),1)&amp;".")),""))</f>
        <v/>
      </c>
      <c r="F476" s="16">
        <f>IF($B476="PAGADO",MID("ABCDEFGHIJ",INT(VALUE($A476)/100)+1,1)&amp;"-"&amp;$A476,"")</f>
        <v/>
      </c>
      <c r="G476" s="16">
        <f>IF($B476="PAGADO","PAGADO",IF($B476="APARTADO",IF(NOT(ISNUMBER($C476)),"APARTADO",IF($C476&lt;1,"APARTADO",IF(NOW()-$C476&gt;1,"LIBRE","APARTADO"))),"LIBRE"))</f>
        <v/>
      </c>
      <c r="H476" s="15">
        <f>IF($G476&lt;&gt;"APARTADO","",IF(NOT(ISNUMBER($C476)),"FALTA LA HORA",IF($C476&lt;1,"FALTA LA FECHA",TEXT($C476+1,"dd/mm hh:mm"))))</f>
        <v/>
      </c>
    </row>
    <row r="477">
      <c r="A477" s="13" t="inlineStr">
        <is>
          <t>475</t>
        </is>
      </c>
      <c r="B477" t="inlineStr">
        <is>
          <t>LIBRE</t>
        </is>
      </c>
      <c r="C477" s="14" t="n"/>
      <c r="E477" s="15">
        <f>IF($G477&lt;&gt;"PAGADO","",IFERROR(IF(VLOOKUP($A477,COMPRADORES!$A:$D,4,FALSE)="NO","Reservado",LEFT(VLOOKUP($A477,COMPRADORES!$A:$D,2,FALSE),3)&amp;"***"&amp;IF(TRIM(MID(VLOOKUP($A477,COMPRADORES!$A:$D,2,FALSE)&amp;" ",FIND(" ",VLOOKUP($A477,COMPRADORES!$A:$D,2,FALSE)&amp;" ")+1,99))="",""," "&amp;LEFT(TRIM(MID(VLOOKUP($A477,COMPRADORES!$A:$D,2,FALSE)&amp;" ",FIND(" ",VLOOKUP($A477,COMPRADORES!$A:$D,2,FALSE)&amp;" ")+1,99)),1)&amp;".")),""))</f>
        <v/>
      </c>
      <c r="F477" s="16">
        <f>IF($B477="PAGADO",MID("ABCDEFGHIJ",INT(VALUE($A477)/100)+1,1)&amp;"-"&amp;$A477,"")</f>
        <v/>
      </c>
      <c r="G477" s="16">
        <f>IF($B477="PAGADO","PAGADO",IF($B477="APARTADO",IF(NOT(ISNUMBER($C477)),"APARTADO",IF($C477&lt;1,"APARTADO",IF(NOW()-$C477&gt;1,"LIBRE","APARTADO"))),"LIBRE"))</f>
        <v/>
      </c>
      <c r="H477" s="15">
        <f>IF($G477&lt;&gt;"APARTADO","",IF(NOT(ISNUMBER($C477)),"FALTA LA HORA",IF($C477&lt;1,"FALTA LA FECHA",TEXT($C477+1,"dd/mm hh:mm"))))</f>
        <v/>
      </c>
    </row>
    <row r="478">
      <c r="A478" s="13" t="inlineStr">
        <is>
          <t>476</t>
        </is>
      </c>
      <c r="B478" t="inlineStr">
        <is>
          <t>LIBRE</t>
        </is>
      </c>
      <c r="C478" s="14" t="n"/>
      <c r="E478" s="15">
        <f>IF($G478&lt;&gt;"PAGADO","",IFERROR(IF(VLOOKUP($A478,COMPRADORES!$A:$D,4,FALSE)="NO","Reservado",LEFT(VLOOKUP($A478,COMPRADORES!$A:$D,2,FALSE),3)&amp;"***"&amp;IF(TRIM(MID(VLOOKUP($A478,COMPRADORES!$A:$D,2,FALSE)&amp;" ",FIND(" ",VLOOKUP($A478,COMPRADORES!$A:$D,2,FALSE)&amp;" ")+1,99))="",""," "&amp;LEFT(TRIM(MID(VLOOKUP($A478,COMPRADORES!$A:$D,2,FALSE)&amp;" ",FIND(" ",VLOOKUP($A478,COMPRADORES!$A:$D,2,FALSE)&amp;" ")+1,99)),1)&amp;".")),""))</f>
        <v/>
      </c>
      <c r="F478" s="16">
        <f>IF($B478="PAGADO",MID("ABCDEFGHIJ",INT(VALUE($A478)/100)+1,1)&amp;"-"&amp;$A478,"")</f>
        <v/>
      </c>
      <c r="G478" s="16">
        <f>IF($B478="PAGADO","PAGADO",IF($B478="APARTADO",IF(NOT(ISNUMBER($C478)),"APARTADO",IF($C478&lt;1,"APARTADO",IF(NOW()-$C478&gt;1,"LIBRE","APARTADO"))),"LIBRE"))</f>
        <v/>
      </c>
      <c r="H478" s="15">
        <f>IF($G478&lt;&gt;"APARTADO","",IF(NOT(ISNUMBER($C478)),"FALTA LA HORA",IF($C478&lt;1,"FALTA LA FECHA",TEXT($C478+1,"dd/mm hh:mm"))))</f>
        <v/>
      </c>
    </row>
    <row r="479">
      <c r="A479" s="13" t="inlineStr">
        <is>
          <t>477</t>
        </is>
      </c>
      <c r="B479" t="inlineStr">
        <is>
          <t>LIBRE</t>
        </is>
      </c>
      <c r="C479" s="14" t="n"/>
      <c r="E479" s="15">
        <f>IF($G479&lt;&gt;"PAGADO","",IFERROR(IF(VLOOKUP($A479,COMPRADORES!$A:$D,4,FALSE)="NO","Reservado",LEFT(VLOOKUP($A479,COMPRADORES!$A:$D,2,FALSE),3)&amp;"***"&amp;IF(TRIM(MID(VLOOKUP($A479,COMPRADORES!$A:$D,2,FALSE)&amp;" ",FIND(" ",VLOOKUP($A479,COMPRADORES!$A:$D,2,FALSE)&amp;" ")+1,99))="",""," "&amp;LEFT(TRIM(MID(VLOOKUP($A479,COMPRADORES!$A:$D,2,FALSE)&amp;" ",FIND(" ",VLOOKUP($A479,COMPRADORES!$A:$D,2,FALSE)&amp;" ")+1,99)),1)&amp;".")),""))</f>
        <v/>
      </c>
      <c r="F479" s="16">
        <f>IF($B479="PAGADO",MID("ABCDEFGHIJ",INT(VALUE($A479)/100)+1,1)&amp;"-"&amp;$A479,"")</f>
        <v/>
      </c>
      <c r="G479" s="16">
        <f>IF($B479="PAGADO","PAGADO",IF($B479="APARTADO",IF(NOT(ISNUMBER($C479)),"APARTADO",IF($C479&lt;1,"APARTADO",IF(NOW()-$C479&gt;1,"LIBRE","APARTADO"))),"LIBRE"))</f>
        <v/>
      </c>
      <c r="H479" s="15">
        <f>IF($G479&lt;&gt;"APARTADO","",IF(NOT(ISNUMBER($C479)),"FALTA LA HORA",IF($C479&lt;1,"FALTA LA FECHA",TEXT($C479+1,"dd/mm hh:mm"))))</f>
        <v/>
      </c>
    </row>
    <row r="480">
      <c r="A480" s="13" t="inlineStr">
        <is>
          <t>478</t>
        </is>
      </c>
      <c r="B480" t="inlineStr">
        <is>
          <t>LIBRE</t>
        </is>
      </c>
      <c r="C480" s="14" t="n"/>
      <c r="E480" s="15">
        <f>IF($G480&lt;&gt;"PAGADO","",IFERROR(IF(VLOOKUP($A480,COMPRADORES!$A:$D,4,FALSE)="NO","Reservado",LEFT(VLOOKUP($A480,COMPRADORES!$A:$D,2,FALSE),3)&amp;"***"&amp;IF(TRIM(MID(VLOOKUP($A480,COMPRADORES!$A:$D,2,FALSE)&amp;" ",FIND(" ",VLOOKUP($A480,COMPRADORES!$A:$D,2,FALSE)&amp;" ")+1,99))="",""," "&amp;LEFT(TRIM(MID(VLOOKUP($A480,COMPRADORES!$A:$D,2,FALSE)&amp;" ",FIND(" ",VLOOKUP($A480,COMPRADORES!$A:$D,2,FALSE)&amp;" ")+1,99)),1)&amp;".")),""))</f>
        <v/>
      </c>
      <c r="F480" s="16">
        <f>IF($B480="PAGADO",MID("ABCDEFGHIJ",INT(VALUE($A480)/100)+1,1)&amp;"-"&amp;$A480,"")</f>
        <v/>
      </c>
      <c r="G480" s="16">
        <f>IF($B480="PAGADO","PAGADO",IF($B480="APARTADO",IF(NOT(ISNUMBER($C480)),"APARTADO",IF($C480&lt;1,"APARTADO",IF(NOW()-$C480&gt;1,"LIBRE","APARTADO"))),"LIBRE"))</f>
        <v/>
      </c>
      <c r="H480" s="15">
        <f>IF($G480&lt;&gt;"APARTADO","",IF(NOT(ISNUMBER($C480)),"FALTA LA HORA",IF($C480&lt;1,"FALTA LA FECHA",TEXT($C480+1,"dd/mm hh:mm"))))</f>
        <v/>
      </c>
    </row>
    <row r="481">
      <c r="A481" s="13" t="inlineStr">
        <is>
          <t>479</t>
        </is>
      </c>
      <c r="B481" t="inlineStr">
        <is>
          <t>LIBRE</t>
        </is>
      </c>
      <c r="C481" s="14" t="n"/>
      <c r="E481" s="15">
        <f>IF($G481&lt;&gt;"PAGADO","",IFERROR(IF(VLOOKUP($A481,COMPRADORES!$A:$D,4,FALSE)="NO","Reservado",LEFT(VLOOKUP($A481,COMPRADORES!$A:$D,2,FALSE),3)&amp;"***"&amp;IF(TRIM(MID(VLOOKUP($A481,COMPRADORES!$A:$D,2,FALSE)&amp;" ",FIND(" ",VLOOKUP($A481,COMPRADORES!$A:$D,2,FALSE)&amp;" ")+1,99))="",""," "&amp;LEFT(TRIM(MID(VLOOKUP($A481,COMPRADORES!$A:$D,2,FALSE)&amp;" ",FIND(" ",VLOOKUP($A481,COMPRADORES!$A:$D,2,FALSE)&amp;" ")+1,99)),1)&amp;".")),""))</f>
        <v/>
      </c>
      <c r="F481" s="16">
        <f>IF($B481="PAGADO",MID("ABCDEFGHIJ",INT(VALUE($A481)/100)+1,1)&amp;"-"&amp;$A481,"")</f>
        <v/>
      </c>
      <c r="G481" s="16">
        <f>IF($B481="PAGADO","PAGADO",IF($B481="APARTADO",IF(NOT(ISNUMBER($C481)),"APARTADO",IF($C481&lt;1,"APARTADO",IF(NOW()-$C481&gt;1,"LIBRE","APARTADO"))),"LIBRE"))</f>
        <v/>
      </c>
      <c r="H481" s="15">
        <f>IF($G481&lt;&gt;"APARTADO","",IF(NOT(ISNUMBER($C481)),"FALTA LA HORA",IF($C481&lt;1,"FALTA LA FECHA",TEXT($C481+1,"dd/mm hh:mm"))))</f>
        <v/>
      </c>
    </row>
    <row r="482">
      <c r="A482" s="13" t="inlineStr">
        <is>
          <t>480</t>
        </is>
      </c>
      <c r="B482" t="inlineStr">
        <is>
          <t>LIBRE</t>
        </is>
      </c>
      <c r="C482" s="14" t="n"/>
      <c r="E482" s="15">
        <f>IF($G482&lt;&gt;"PAGADO","",IFERROR(IF(VLOOKUP($A482,COMPRADORES!$A:$D,4,FALSE)="NO","Reservado",LEFT(VLOOKUP($A482,COMPRADORES!$A:$D,2,FALSE),3)&amp;"***"&amp;IF(TRIM(MID(VLOOKUP($A482,COMPRADORES!$A:$D,2,FALSE)&amp;" ",FIND(" ",VLOOKUP($A482,COMPRADORES!$A:$D,2,FALSE)&amp;" ")+1,99))="",""," "&amp;LEFT(TRIM(MID(VLOOKUP($A482,COMPRADORES!$A:$D,2,FALSE)&amp;" ",FIND(" ",VLOOKUP($A482,COMPRADORES!$A:$D,2,FALSE)&amp;" ")+1,99)),1)&amp;".")),""))</f>
        <v/>
      </c>
      <c r="F482" s="16">
        <f>IF($B482="PAGADO",MID("ABCDEFGHIJ",INT(VALUE($A482)/100)+1,1)&amp;"-"&amp;$A482,"")</f>
        <v/>
      </c>
      <c r="G482" s="16">
        <f>IF($B482="PAGADO","PAGADO",IF($B482="APARTADO",IF(NOT(ISNUMBER($C482)),"APARTADO",IF($C482&lt;1,"APARTADO",IF(NOW()-$C482&gt;1,"LIBRE","APARTADO"))),"LIBRE"))</f>
        <v/>
      </c>
      <c r="H482" s="15">
        <f>IF($G482&lt;&gt;"APARTADO","",IF(NOT(ISNUMBER($C482)),"FALTA LA HORA",IF($C482&lt;1,"FALTA LA FECHA",TEXT($C482+1,"dd/mm hh:mm"))))</f>
        <v/>
      </c>
    </row>
    <row r="483">
      <c r="A483" s="13" t="inlineStr">
        <is>
          <t>481</t>
        </is>
      </c>
      <c r="B483" t="inlineStr">
        <is>
          <t>LIBRE</t>
        </is>
      </c>
      <c r="C483" s="14" t="n"/>
      <c r="E483" s="15">
        <f>IF($G483&lt;&gt;"PAGADO","",IFERROR(IF(VLOOKUP($A483,COMPRADORES!$A:$D,4,FALSE)="NO","Reservado",LEFT(VLOOKUP($A483,COMPRADORES!$A:$D,2,FALSE),3)&amp;"***"&amp;IF(TRIM(MID(VLOOKUP($A483,COMPRADORES!$A:$D,2,FALSE)&amp;" ",FIND(" ",VLOOKUP($A483,COMPRADORES!$A:$D,2,FALSE)&amp;" ")+1,99))="",""," "&amp;LEFT(TRIM(MID(VLOOKUP($A483,COMPRADORES!$A:$D,2,FALSE)&amp;" ",FIND(" ",VLOOKUP($A483,COMPRADORES!$A:$D,2,FALSE)&amp;" ")+1,99)),1)&amp;".")),""))</f>
        <v/>
      </c>
      <c r="F483" s="16">
        <f>IF($B483="PAGADO",MID("ABCDEFGHIJ",INT(VALUE($A483)/100)+1,1)&amp;"-"&amp;$A483,"")</f>
        <v/>
      </c>
      <c r="G483" s="16">
        <f>IF($B483="PAGADO","PAGADO",IF($B483="APARTADO",IF(NOT(ISNUMBER($C483)),"APARTADO",IF($C483&lt;1,"APARTADO",IF(NOW()-$C483&gt;1,"LIBRE","APARTADO"))),"LIBRE"))</f>
        <v/>
      </c>
      <c r="H483" s="15">
        <f>IF($G483&lt;&gt;"APARTADO","",IF(NOT(ISNUMBER($C483)),"FALTA LA HORA",IF($C483&lt;1,"FALTA LA FECHA",TEXT($C483+1,"dd/mm hh:mm"))))</f>
        <v/>
      </c>
    </row>
    <row r="484">
      <c r="A484" s="13" t="inlineStr">
        <is>
          <t>482</t>
        </is>
      </c>
      <c r="B484" t="inlineStr">
        <is>
          <t>LIBRE</t>
        </is>
      </c>
      <c r="C484" s="14" t="n"/>
      <c r="E484" s="15">
        <f>IF($G484&lt;&gt;"PAGADO","",IFERROR(IF(VLOOKUP($A484,COMPRADORES!$A:$D,4,FALSE)="NO","Reservado",LEFT(VLOOKUP($A484,COMPRADORES!$A:$D,2,FALSE),3)&amp;"***"&amp;IF(TRIM(MID(VLOOKUP($A484,COMPRADORES!$A:$D,2,FALSE)&amp;" ",FIND(" ",VLOOKUP($A484,COMPRADORES!$A:$D,2,FALSE)&amp;" ")+1,99))="",""," "&amp;LEFT(TRIM(MID(VLOOKUP($A484,COMPRADORES!$A:$D,2,FALSE)&amp;" ",FIND(" ",VLOOKUP($A484,COMPRADORES!$A:$D,2,FALSE)&amp;" ")+1,99)),1)&amp;".")),""))</f>
        <v/>
      </c>
      <c r="F484" s="16">
        <f>IF($B484="PAGADO",MID("ABCDEFGHIJ",INT(VALUE($A484)/100)+1,1)&amp;"-"&amp;$A484,"")</f>
        <v/>
      </c>
      <c r="G484" s="16">
        <f>IF($B484="PAGADO","PAGADO",IF($B484="APARTADO",IF(NOT(ISNUMBER($C484)),"APARTADO",IF($C484&lt;1,"APARTADO",IF(NOW()-$C484&gt;1,"LIBRE","APARTADO"))),"LIBRE"))</f>
        <v/>
      </c>
      <c r="H484" s="15">
        <f>IF($G484&lt;&gt;"APARTADO","",IF(NOT(ISNUMBER($C484)),"FALTA LA HORA",IF($C484&lt;1,"FALTA LA FECHA",TEXT($C484+1,"dd/mm hh:mm"))))</f>
        <v/>
      </c>
    </row>
    <row r="485">
      <c r="A485" s="13" t="inlineStr">
        <is>
          <t>483</t>
        </is>
      </c>
      <c r="B485" t="inlineStr">
        <is>
          <t>LIBRE</t>
        </is>
      </c>
      <c r="C485" s="14" t="n"/>
      <c r="E485" s="15">
        <f>IF($G485&lt;&gt;"PAGADO","",IFERROR(IF(VLOOKUP($A485,COMPRADORES!$A:$D,4,FALSE)="NO","Reservado",LEFT(VLOOKUP($A485,COMPRADORES!$A:$D,2,FALSE),3)&amp;"***"&amp;IF(TRIM(MID(VLOOKUP($A485,COMPRADORES!$A:$D,2,FALSE)&amp;" ",FIND(" ",VLOOKUP($A485,COMPRADORES!$A:$D,2,FALSE)&amp;" ")+1,99))="",""," "&amp;LEFT(TRIM(MID(VLOOKUP($A485,COMPRADORES!$A:$D,2,FALSE)&amp;" ",FIND(" ",VLOOKUP($A485,COMPRADORES!$A:$D,2,FALSE)&amp;" ")+1,99)),1)&amp;".")),""))</f>
        <v/>
      </c>
      <c r="F485" s="16">
        <f>IF($B485="PAGADO",MID("ABCDEFGHIJ",INT(VALUE($A485)/100)+1,1)&amp;"-"&amp;$A485,"")</f>
        <v/>
      </c>
      <c r="G485" s="16">
        <f>IF($B485="PAGADO","PAGADO",IF($B485="APARTADO",IF(NOT(ISNUMBER($C485)),"APARTADO",IF($C485&lt;1,"APARTADO",IF(NOW()-$C485&gt;1,"LIBRE","APARTADO"))),"LIBRE"))</f>
        <v/>
      </c>
      <c r="H485" s="15">
        <f>IF($G485&lt;&gt;"APARTADO","",IF(NOT(ISNUMBER($C485)),"FALTA LA HORA",IF($C485&lt;1,"FALTA LA FECHA",TEXT($C485+1,"dd/mm hh:mm"))))</f>
        <v/>
      </c>
    </row>
    <row r="486">
      <c r="A486" s="13" t="inlineStr">
        <is>
          <t>484</t>
        </is>
      </c>
      <c r="B486" t="inlineStr">
        <is>
          <t>LIBRE</t>
        </is>
      </c>
      <c r="C486" s="14" t="n"/>
      <c r="E486" s="15">
        <f>IF($G486&lt;&gt;"PAGADO","",IFERROR(IF(VLOOKUP($A486,COMPRADORES!$A:$D,4,FALSE)="NO","Reservado",LEFT(VLOOKUP($A486,COMPRADORES!$A:$D,2,FALSE),3)&amp;"***"&amp;IF(TRIM(MID(VLOOKUP($A486,COMPRADORES!$A:$D,2,FALSE)&amp;" ",FIND(" ",VLOOKUP($A486,COMPRADORES!$A:$D,2,FALSE)&amp;" ")+1,99))="",""," "&amp;LEFT(TRIM(MID(VLOOKUP($A486,COMPRADORES!$A:$D,2,FALSE)&amp;" ",FIND(" ",VLOOKUP($A486,COMPRADORES!$A:$D,2,FALSE)&amp;" ")+1,99)),1)&amp;".")),""))</f>
        <v/>
      </c>
      <c r="F486" s="16">
        <f>IF($B486="PAGADO",MID("ABCDEFGHIJ",INT(VALUE($A486)/100)+1,1)&amp;"-"&amp;$A486,"")</f>
        <v/>
      </c>
      <c r="G486" s="16">
        <f>IF($B486="PAGADO","PAGADO",IF($B486="APARTADO",IF(NOT(ISNUMBER($C486)),"APARTADO",IF($C486&lt;1,"APARTADO",IF(NOW()-$C486&gt;1,"LIBRE","APARTADO"))),"LIBRE"))</f>
        <v/>
      </c>
      <c r="H486" s="15">
        <f>IF($G486&lt;&gt;"APARTADO","",IF(NOT(ISNUMBER($C486)),"FALTA LA HORA",IF($C486&lt;1,"FALTA LA FECHA",TEXT($C486+1,"dd/mm hh:mm"))))</f>
        <v/>
      </c>
    </row>
    <row r="487">
      <c r="A487" s="13" t="inlineStr">
        <is>
          <t>485</t>
        </is>
      </c>
      <c r="B487" t="inlineStr">
        <is>
          <t>LIBRE</t>
        </is>
      </c>
      <c r="C487" s="14" t="n"/>
      <c r="E487" s="15">
        <f>IF($G487&lt;&gt;"PAGADO","",IFERROR(IF(VLOOKUP($A487,COMPRADORES!$A:$D,4,FALSE)="NO","Reservado",LEFT(VLOOKUP($A487,COMPRADORES!$A:$D,2,FALSE),3)&amp;"***"&amp;IF(TRIM(MID(VLOOKUP($A487,COMPRADORES!$A:$D,2,FALSE)&amp;" ",FIND(" ",VLOOKUP($A487,COMPRADORES!$A:$D,2,FALSE)&amp;" ")+1,99))="",""," "&amp;LEFT(TRIM(MID(VLOOKUP($A487,COMPRADORES!$A:$D,2,FALSE)&amp;" ",FIND(" ",VLOOKUP($A487,COMPRADORES!$A:$D,2,FALSE)&amp;" ")+1,99)),1)&amp;".")),""))</f>
        <v/>
      </c>
      <c r="F487" s="16">
        <f>IF($B487="PAGADO",MID("ABCDEFGHIJ",INT(VALUE($A487)/100)+1,1)&amp;"-"&amp;$A487,"")</f>
        <v/>
      </c>
      <c r="G487" s="16">
        <f>IF($B487="PAGADO","PAGADO",IF($B487="APARTADO",IF(NOT(ISNUMBER($C487)),"APARTADO",IF($C487&lt;1,"APARTADO",IF(NOW()-$C487&gt;1,"LIBRE","APARTADO"))),"LIBRE"))</f>
        <v/>
      </c>
      <c r="H487" s="15">
        <f>IF($G487&lt;&gt;"APARTADO","",IF(NOT(ISNUMBER($C487)),"FALTA LA HORA",IF($C487&lt;1,"FALTA LA FECHA",TEXT($C487+1,"dd/mm hh:mm"))))</f>
        <v/>
      </c>
    </row>
    <row r="488">
      <c r="A488" s="13" t="inlineStr">
        <is>
          <t>486</t>
        </is>
      </c>
      <c r="B488" t="inlineStr">
        <is>
          <t>LIBRE</t>
        </is>
      </c>
      <c r="C488" s="14" t="n"/>
      <c r="E488" s="15">
        <f>IF($G488&lt;&gt;"PAGADO","",IFERROR(IF(VLOOKUP($A488,COMPRADORES!$A:$D,4,FALSE)="NO","Reservado",LEFT(VLOOKUP($A488,COMPRADORES!$A:$D,2,FALSE),3)&amp;"***"&amp;IF(TRIM(MID(VLOOKUP($A488,COMPRADORES!$A:$D,2,FALSE)&amp;" ",FIND(" ",VLOOKUP($A488,COMPRADORES!$A:$D,2,FALSE)&amp;" ")+1,99))="",""," "&amp;LEFT(TRIM(MID(VLOOKUP($A488,COMPRADORES!$A:$D,2,FALSE)&amp;" ",FIND(" ",VLOOKUP($A488,COMPRADORES!$A:$D,2,FALSE)&amp;" ")+1,99)),1)&amp;".")),""))</f>
        <v/>
      </c>
      <c r="F488" s="16">
        <f>IF($B488="PAGADO",MID("ABCDEFGHIJ",INT(VALUE($A488)/100)+1,1)&amp;"-"&amp;$A488,"")</f>
        <v/>
      </c>
      <c r="G488" s="16">
        <f>IF($B488="PAGADO","PAGADO",IF($B488="APARTADO",IF(NOT(ISNUMBER($C488)),"APARTADO",IF($C488&lt;1,"APARTADO",IF(NOW()-$C488&gt;1,"LIBRE","APARTADO"))),"LIBRE"))</f>
        <v/>
      </c>
      <c r="H488" s="15">
        <f>IF($G488&lt;&gt;"APARTADO","",IF(NOT(ISNUMBER($C488)),"FALTA LA HORA",IF($C488&lt;1,"FALTA LA FECHA",TEXT($C488+1,"dd/mm hh:mm"))))</f>
        <v/>
      </c>
    </row>
    <row r="489">
      <c r="A489" s="13" t="inlineStr">
        <is>
          <t>487</t>
        </is>
      </c>
      <c r="B489" t="inlineStr">
        <is>
          <t>LIBRE</t>
        </is>
      </c>
      <c r="C489" s="14" t="n"/>
      <c r="E489" s="15">
        <f>IF($G489&lt;&gt;"PAGADO","",IFERROR(IF(VLOOKUP($A489,COMPRADORES!$A:$D,4,FALSE)="NO","Reservado",LEFT(VLOOKUP($A489,COMPRADORES!$A:$D,2,FALSE),3)&amp;"***"&amp;IF(TRIM(MID(VLOOKUP($A489,COMPRADORES!$A:$D,2,FALSE)&amp;" ",FIND(" ",VLOOKUP($A489,COMPRADORES!$A:$D,2,FALSE)&amp;" ")+1,99))="",""," "&amp;LEFT(TRIM(MID(VLOOKUP($A489,COMPRADORES!$A:$D,2,FALSE)&amp;" ",FIND(" ",VLOOKUP($A489,COMPRADORES!$A:$D,2,FALSE)&amp;" ")+1,99)),1)&amp;".")),""))</f>
        <v/>
      </c>
      <c r="F489" s="16">
        <f>IF($B489="PAGADO",MID("ABCDEFGHIJ",INT(VALUE($A489)/100)+1,1)&amp;"-"&amp;$A489,"")</f>
        <v/>
      </c>
      <c r="G489" s="16">
        <f>IF($B489="PAGADO","PAGADO",IF($B489="APARTADO",IF(NOT(ISNUMBER($C489)),"APARTADO",IF($C489&lt;1,"APARTADO",IF(NOW()-$C489&gt;1,"LIBRE","APARTADO"))),"LIBRE"))</f>
        <v/>
      </c>
      <c r="H489" s="15">
        <f>IF($G489&lt;&gt;"APARTADO","",IF(NOT(ISNUMBER($C489)),"FALTA LA HORA",IF($C489&lt;1,"FALTA LA FECHA",TEXT($C489+1,"dd/mm hh:mm"))))</f>
        <v/>
      </c>
    </row>
    <row r="490">
      <c r="A490" s="13" t="inlineStr">
        <is>
          <t>488</t>
        </is>
      </c>
      <c r="B490" t="inlineStr">
        <is>
          <t>LIBRE</t>
        </is>
      </c>
      <c r="C490" s="14" t="n"/>
      <c r="E490" s="15">
        <f>IF($G490&lt;&gt;"PAGADO","",IFERROR(IF(VLOOKUP($A490,COMPRADORES!$A:$D,4,FALSE)="NO","Reservado",LEFT(VLOOKUP($A490,COMPRADORES!$A:$D,2,FALSE),3)&amp;"***"&amp;IF(TRIM(MID(VLOOKUP($A490,COMPRADORES!$A:$D,2,FALSE)&amp;" ",FIND(" ",VLOOKUP($A490,COMPRADORES!$A:$D,2,FALSE)&amp;" ")+1,99))="",""," "&amp;LEFT(TRIM(MID(VLOOKUP($A490,COMPRADORES!$A:$D,2,FALSE)&amp;" ",FIND(" ",VLOOKUP($A490,COMPRADORES!$A:$D,2,FALSE)&amp;" ")+1,99)),1)&amp;".")),""))</f>
        <v/>
      </c>
      <c r="F490" s="16">
        <f>IF($B490="PAGADO",MID("ABCDEFGHIJ",INT(VALUE($A490)/100)+1,1)&amp;"-"&amp;$A490,"")</f>
        <v/>
      </c>
      <c r="G490" s="16">
        <f>IF($B490="PAGADO","PAGADO",IF($B490="APARTADO",IF(NOT(ISNUMBER($C490)),"APARTADO",IF($C490&lt;1,"APARTADO",IF(NOW()-$C490&gt;1,"LIBRE","APARTADO"))),"LIBRE"))</f>
        <v/>
      </c>
      <c r="H490" s="15">
        <f>IF($G490&lt;&gt;"APARTADO","",IF(NOT(ISNUMBER($C490)),"FALTA LA HORA",IF($C490&lt;1,"FALTA LA FECHA",TEXT($C490+1,"dd/mm hh:mm"))))</f>
        <v/>
      </c>
    </row>
    <row r="491">
      <c r="A491" s="13" t="inlineStr">
        <is>
          <t>489</t>
        </is>
      </c>
      <c r="B491" t="inlineStr">
        <is>
          <t>LIBRE</t>
        </is>
      </c>
      <c r="C491" s="14" t="n"/>
      <c r="E491" s="15">
        <f>IF($G491&lt;&gt;"PAGADO","",IFERROR(IF(VLOOKUP($A491,COMPRADORES!$A:$D,4,FALSE)="NO","Reservado",LEFT(VLOOKUP($A491,COMPRADORES!$A:$D,2,FALSE),3)&amp;"***"&amp;IF(TRIM(MID(VLOOKUP($A491,COMPRADORES!$A:$D,2,FALSE)&amp;" ",FIND(" ",VLOOKUP($A491,COMPRADORES!$A:$D,2,FALSE)&amp;" ")+1,99))="",""," "&amp;LEFT(TRIM(MID(VLOOKUP($A491,COMPRADORES!$A:$D,2,FALSE)&amp;" ",FIND(" ",VLOOKUP($A491,COMPRADORES!$A:$D,2,FALSE)&amp;" ")+1,99)),1)&amp;".")),""))</f>
        <v/>
      </c>
      <c r="F491" s="16">
        <f>IF($B491="PAGADO",MID("ABCDEFGHIJ",INT(VALUE($A491)/100)+1,1)&amp;"-"&amp;$A491,"")</f>
        <v/>
      </c>
      <c r="G491" s="16">
        <f>IF($B491="PAGADO","PAGADO",IF($B491="APARTADO",IF(NOT(ISNUMBER($C491)),"APARTADO",IF($C491&lt;1,"APARTADO",IF(NOW()-$C491&gt;1,"LIBRE","APARTADO"))),"LIBRE"))</f>
        <v/>
      </c>
      <c r="H491" s="15">
        <f>IF($G491&lt;&gt;"APARTADO","",IF(NOT(ISNUMBER($C491)),"FALTA LA HORA",IF($C491&lt;1,"FALTA LA FECHA",TEXT($C491+1,"dd/mm hh:mm"))))</f>
        <v/>
      </c>
    </row>
    <row r="492">
      <c r="A492" s="13" t="inlineStr">
        <is>
          <t>490</t>
        </is>
      </c>
      <c r="B492" t="inlineStr">
        <is>
          <t>LIBRE</t>
        </is>
      </c>
      <c r="C492" s="14" t="n"/>
      <c r="E492" s="15">
        <f>IF($G492&lt;&gt;"PAGADO","",IFERROR(IF(VLOOKUP($A492,COMPRADORES!$A:$D,4,FALSE)="NO","Reservado",LEFT(VLOOKUP($A492,COMPRADORES!$A:$D,2,FALSE),3)&amp;"***"&amp;IF(TRIM(MID(VLOOKUP($A492,COMPRADORES!$A:$D,2,FALSE)&amp;" ",FIND(" ",VLOOKUP($A492,COMPRADORES!$A:$D,2,FALSE)&amp;" ")+1,99))="",""," "&amp;LEFT(TRIM(MID(VLOOKUP($A492,COMPRADORES!$A:$D,2,FALSE)&amp;" ",FIND(" ",VLOOKUP($A492,COMPRADORES!$A:$D,2,FALSE)&amp;" ")+1,99)),1)&amp;".")),""))</f>
        <v/>
      </c>
      <c r="F492" s="16">
        <f>IF($B492="PAGADO",MID("ABCDEFGHIJ",INT(VALUE($A492)/100)+1,1)&amp;"-"&amp;$A492,"")</f>
        <v/>
      </c>
      <c r="G492" s="16">
        <f>IF($B492="PAGADO","PAGADO",IF($B492="APARTADO",IF(NOT(ISNUMBER($C492)),"APARTADO",IF($C492&lt;1,"APARTADO",IF(NOW()-$C492&gt;1,"LIBRE","APARTADO"))),"LIBRE"))</f>
        <v/>
      </c>
      <c r="H492" s="15">
        <f>IF($G492&lt;&gt;"APARTADO","",IF(NOT(ISNUMBER($C492)),"FALTA LA HORA",IF($C492&lt;1,"FALTA LA FECHA",TEXT($C492+1,"dd/mm hh:mm"))))</f>
        <v/>
      </c>
    </row>
    <row r="493">
      <c r="A493" s="13" t="inlineStr">
        <is>
          <t>491</t>
        </is>
      </c>
      <c r="B493" t="inlineStr">
        <is>
          <t>LIBRE</t>
        </is>
      </c>
      <c r="C493" s="14" t="n"/>
      <c r="E493" s="15">
        <f>IF($G493&lt;&gt;"PAGADO","",IFERROR(IF(VLOOKUP($A493,COMPRADORES!$A:$D,4,FALSE)="NO","Reservado",LEFT(VLOOKUP($A493,COMPRADORES!$A:$D,2,FALSE),3)&amp;"***"&amp;IF(TRIM(MID(VLOOKUP($A493,COMPRADORES!$A:$D,2,FALSE)&amp;" ",FIND(" ",VLOOKUP($A493,COMPRADORES!$A:$D,2,FALSE)&amp;" ")+1,99))="",""," "&amp;LEFT(TRIM(MID(VLOOKUP($A493,COMPRADORES!$A:$D,2,FALSE)&amp;" ",FIND(" ",VLOOKUP($A493,COMPRADORES!$A:$D,2,FALSE)&amp;" ")+1,99)),1)&amp;".")),""))</f>
        <v/>
      </c>
      <c r="F493" s="16">
        <f>IF($B493="PAGADO",MID("ABCDEFGHIJ",INT(VALUE($A493)/100)+1,1)&amp;"-"&amp;$A493,"")</f>
        <v/>
      </c>
      <c r="G493" s="16">
        <f>IF($B493="PAGADO","PAGADO",IF($B493="APARTADO",IF(NOT(ISNUMBER($C493)),"APARTADO",IF($C493&lt;1,"APARTADO",IF(NOW()-$C493&gt;1,"LIBRE","APARTADO"))),"LIBRE"))</f>
        <v/>
      </c>
      <c r="H493" s="15">
        <f>IF($G493&lt;&gt;"APARTADO","",IF(NOT(ISNUMBER($C493)),"FALTA LA HORA",IF($C493&lt;1,"FALTA LA FECHA",TEXT($C493+1,"dd/mm hh:mm"))))</f>
        <v/>
      </c>
    </row>
    <row r="494">
      <c r="A494" s="13" t="inlineStr">
        <is>
          <t>492</t>
        </is>
      </c>
      <c r="B494" t="inlineStr">
        <is>
          <t>LIBRE</t>
        </is>
      </c>
      <c r="C494" s="14" t="n"/>
      <c r="E494" s="15">
        <f>IF($G494&lt;&gt;"PAGADO","",IFERROR(IF(VLOOKUP($A494,COMPRADORES!$A:$D,4,FALSE)="NO","Reservado",LEFT(VLOOKUP($A494,COMPRADORES!$A:$D,2,FALSE),3)&amp;"***"&amp;IF(TRIM(MID(VLOOKUP($A494,COMPRADORES!$A:$D,2,FALSE)&amp;" ",FIND(" ",VLOOKUP($A494,COMPRADORES!$A:$D,2,FALSE)&amp;" ")+1,99))="",""," "&amp;LEFT(TRIM(MID(VLOOKUP($A494,COMPRADORES!$A:$D,2,FALSE)&amp;" ",FIND(" ",VLOOKUP($A494,COMPRADORES!$A:$D,2,FALSE)&amp;" ")+1,99)),1)&amp;".")),""))</f>
        <v/>
      </c>
      <c r="F494" s="16">
        <f>IF($B494="PAGADO",MID("ABCDEFGHIJ",INT(VALUE($A494)/100)+1,1)&amp;"-"&amp;$A494,"")</f>
        <v/>
      </c>
      <c r="G494" s="16">
        <f>IF($B494="PAGADO","PAGADO",IF($B494="APARTADO",IF(NOT(ISNUMBER($C494)),"APARTADO",IF($C494&lt;1,"APARTADO",IF(NOW()-$C494&gt;1,"LIBRE","APARTADO"))),"LIBRE"))</f>
        <v/>
      </c>
      <c r="H494" s="15">
        <f>IF($G494&lt;&gt;"APARTADO","",IF(NOT(ISNUMBER($C494)),"FALTA LA HORA",IF($C494&lt;1,"FALTA LA FECHA",TEXT($C494+1,"dd/mm hh:mm"))))</f>
        <v/>
      </c>
    </row>
    <row r="495">
      <c r="A495" s="13" t="inlineStr">
        <is>
          <t>493</t>
        </is>
      </c>
      <c r="B495" t="inlineStr">
        <is>
          <t>LIBRE</t>
        </is>
      </c>
      <c r="C495" s="14" t="n"/>
      <c r="E495" s="15">
        <f>IF($G495&lt;&gt;"PAGADO","",IFERROR(IF(VLOOKUP($A495,COMPRADORES!$A:$D,4,FALSE)="NO","Reservado",LEFT(VLOOKUP($A495,COMPRADORES!$A:$D,2,FALSE),3)&amp;"***"&amp;IF(TRIM(MID(VLOOKUP($A495,COMPRADORES!$A:$D,2,FALSE)&amp;" ",FIND(" ",VLOOKUP($A495,COMPRADORES!$A:$D,2,FALSE)&amp;" ")+1,99))="",""," "&amp;LEFT(TRIM(MID(VLOOKUP($A495,COMPRADORES!$A:$D,2,FALSE)&amp;" ",FIND(" ",VLOOKUP($A495,COMPRADORES!$A:$D,2,FALSE)&amp;" ")+1,99)),1)&amp;".")),""))</f>
        <v/>
      </c>
      <c r="F495" s="16">
        <f>IF($B495="PAGADO",MID("ABCDEFGHIJ",INT(VALUE($A495)/100)+1,1)&amp;"-"&amp;$A495,"")</f>
        <v/>
      </c>
      <c r="G495" s="16">
        <f>IF($B495="PAGADO","PAGADO",IF($B495="APARTADO",IF(NOT(ISNUMBER($C495)),"APARTADO",IF($C495&lt;1,"APARTADO",IF(NOW()-$C495&gt;1,"LIBRE","APARTADO"))),"LIBRE"))</f>
        <v/>
      </c>
      <c r="H495" s="15">
        <f>IF($G495&lt;&gt;"APARTADO","",IF(NOT(ISNUMBER($C495)),"FALTA LA HORA",IF($C495&lt;1,"FALTA LA FECHA",TEXT($C495+1,"dd/mm hh:mm"))))</f>
        <v/>
      </c>
    </row>
    <row r="496">
      <c r="A496" s="13" t="inlineStr">
        <is>
          <t>494</t>
        </is>
      </c>
      <c r="B496" t="inlineStr">
        <is>
          <t>LIBRE</t>
        </is>
      </c>
      <c r="C496" s="14" t="n"/>
      <c r="E496" s="15">
        <f>IF($G496&lt;&gt;"PAGADO","",IFERROR(IF(VLOOKUP($A496,COMPRADORES!$A:$D,4,FALSE)="NO","Reservado",LEFT(VLOOKUP($A496,COMPRADORES!$A:$D,2,FALSE),3)&amp;"***"&amp;IF(TRIM(MID(VLOOKUP($A496,COMPRADORES!$A:$D,2,FALSE)&amp;" ",FIND(" ",VLOOKUP($A496,COMPRADORES!$A:$D,2,FALSE)&amp;" ")+1,99))="",""," "&amp;LEFT(TRIM(MID(VLOOKUP($A496,COMPRADORES!$A:$D,2,FALSE)&amp;" ",FIND(" ",VLOOKUP($A496,COMPRADORES!$A:$D,2,FALSE)&amp;" ")+1,99)),1)&amp;".")),""))</f>
        <v/>
      </c>
      <c r="F496" s="16">
        <f>IF($B496="PAGADO",MID("ABCDEFGHIJ",INT(VALUE($A496)/100)+1,1)&amp;"-"&amp;$A496,"")</f>
        <v/>
      </c>
      <c r="G496" s="16">
        <f>IF($B496="PAGADO","PAGADO",IF($B496="APARTADO",IF(NOT(ISNUMBER($C496)),"APARTADO",IF($C496&lt;1,"APARTADO",IF(NOW()-$C496&gt;1,"LIBRE","APARTADO"))),"LIBRE"))</f>
        <v/>
      </c>
      <c r="H496" s="15">
        <f>IF($G496&lt;&gt;"APARTADO","",IF(NOT(ISNUMBER($C496)),"FALTA LA HORA",IF($C496&lt;1,"FALTA LA FECHA",TEXT($C496+1,"dd/mm hh:mm"))))</f>
        <v/>
      </c>
    </row>
    <row r="497">
      <c r="A497" s="13" t="inlineStr">
        <is>
          <t>495</t>
        </is>
      </c>
      <c r="B497" t="inlineStr">
        <is>
          <t>LIBRE</t>
        </is>
      </c>
      <c r="C497" s="14" t="n"/>
      <c r="E497" s="15">
        <f>IF($G497&lt;&gt;"PAGADO","",IFERROR(IF(VLOOKUP($A497,COMPRADORES!$A:$D,4,FALSE)="NO","Reservado",LEFT(VLOOKUP($A497,COMPRADORES!$A:$D,2,FALSE),3)&amp;"***"&amp;IF(TRIM(MID(VLOOKUP($A497,COMPRADORES!$A:$D,2,FALSE)&amp;" ",FIND(" ",VLOOKUP($A497,COMPRADORES!$A:$D,2,FALSE)&amp;" ")+1,99))="",""," "&amp;LEFT(TRIM(MID(VLOOKUP($A497,COMPRADORES!$A:$D,2,FALSE)&amp;" ",FIND(" ",VLOOKUP($A497,COMPRADORES!$A:$D,2,FALSE)&amp;" ")+1,99)),1)&amp;".")),""))</f>
        <v/>
      </c>
      <c r="F497" s="16">
        <f>IF($B497="PAGADO",MID("ABCDEFGHIJ",INT(VALUE($A497)/100)+1,1)&amp;"-"&amp;$A497,"")</f>
        <v/>
      </c>
      <c r="G497" s="16">
        <f>IF($B497="PAGADO","PAGADO",IF($B497="APARTADO",IF(NOT(ISNUMBER($C497)),"APARTADO",IF($C497&lt;1,"APARTADO",IF(NOW()-$C497&gt;1,"LIBRE","APARTADO"))),"LIBRE"))</f>
        <v/>
      </c>
      <c r="H497" s="15">
        <f>IF($G497&lt;&gt;"APARTADO","",IF(NOT(ISNUMBER($C497)),"FALTA LA HORA",IF($C497&lt;1,"FALTA LA FECHA",TEXT($C497+1,"dd/mm hh:mm"))))</f>
        <v/>
      </c>
    </row>
    <row r="498">
      <c r="A498" s="13" t="inlineStr">
        <is>
          <t>496</t>
        </is>
      </c>
      <c r="B498" t="inlineStr">
        <is>
          <t>LIBRE</t>
        </is>
      </c>
      <c r="C498" s="14" t="n"/>
      <c r="E498" s="15">
        <f>IF($G498&lt;&gt;"PAGADO","",IFERROR(IF(VLOOKUP($A498,COMPRADORES!$A:$D,4,FALSE)="NO","Reservado",LEFT(VLOOKUP($A498,COMPRADORES!$A:$D,2,FALSE),3)&amp;"***"&amp;IF(TRIM(MID(VLOOKUP($A498,COMPRADORES!$A:$D,2,FALSE)&amp;" ",FIND(" ",VLOOKUP($A498,COMPRADORES!$A:$D,2,FALSE)&amp;" ")+1,99))="",""," "&amp;LEFT(TRIM(MID(VLOOKUP($A498,COMPRADORES!$A:$D,2,FALSE)&amp;" ",FIND(" ",VLOOKUP($A498,COMPRADORES!$A:$D,2,FALSE)&amp;" ")+1,99)),1)&amp;".")),""))</f>
        <v/>
      </c>
      <c r="F498" s="16">
        <f>IF($B498="PAGADO",MID("ABCDEFGHIJ",INT(VALUE($A498)/100)+1,1)&amp;"-"&amp;$A498,"")</f>
        <v/>
      </c>
      <c r="G498" s="16">
        <f>IF($B498="PAGADO","PAGADO",IF($B498="APARTADO",IF(NOT(ISNUMBER($C498)),"APARTADO",IF($C498&lt;1,"APARTADO",IF(NOW()-$C498&gt;1,"LIBRE","APARTADO"))),"LIBRE"))</f>
        <v/>
      </c>
      <c r="H498" s="15">
        <f>IF($G498&lt;&gt;"APARTADO","",IF(NOT(ISNUMBER($C498)),"FALTA LA HORA",IF($C498&lt;1,"FALTA LA FECHA",TEXT($C498+1,"dd/mm hh:mm"))))</f>
        <v/>
      </c>
    </row>
    <row r="499">
      <c r="A499" s="13" t="inlineStr">
        <is>
          <t>497</t>
        </is>
      </c>
      <c r="B499" t="inlineStr">
        <is>
          <t>LIBRE</t>
        </is>
      </c>
      <c r="C499" s="14" t="n"/>
      <c r="E499" s="15">
        <f>IF($G499&lt;&gt;"PAGADO","",IFERROR(IF(VLOOKUP($A499,COMPRADORES!$A:$D,4,FALSE)="NO","Reservado",LEFT(VLOOKUP($A499,COMPRADORES!$A:$D,2,FALSE),3)&amp;"***"&amp;IF(TRIM(MID(VLOOKUP($A499,COMPRADORES!$A:$D,2,FALSE)&amp;" ",FIND(" ",VLOOKUP($A499,COMPRADORES!$A:$D,2,FALSE)&amp;" ")+1,99))="",""," "&amp;LEFT(TRIM(MID(VLOOKUP($A499,COMPRADORES!$A:$D,2,FALSE)&amp;" ",FIND(" ",VLOOKUP($A499,COMPRADORES!$A:$D,2,FALSE)&amp;" ")+1,99)),1)&amp;".")),""))</f>
        <v/>
      </c>
      <c r="F499" s="16">
        <f>IF($B499="PAGADO",MID("ABCDEFGHIJ",INT(VALUE($A499)/100)+1,1)&amp;"-"&amp;$A499,"")</f>
        <v/>
      </c>
      <c r="G499" s="16">
        <f>IF($B499="PAGADO","PAGADO",IF($B499="APARTADO",IF(NOT(ISNUMBER($C499)),"APARTADO",IF($C499&lt;1,"APARTADO",IF(NOW()-$C499&gt;1,"LIBRE","APARTADO"))),"LIBRE"))</f>
        <v/>
      </c>
      <c r="H499" s="15">
        <f>IF($G499&lt;&gt;"APARTADO","",IF(NOT(ISNUMBER($C499)),"FALTA LA HORA",IF($C499&lt;1,"FALTA LA FECHA",TEXT($C499+1,"dd/mm hh:mm"))))</f>
        <v/>
      </c>
    </row>
    <row r="500">
      <c r="A500" s="13" t="inlineStr">
        <is>
          <t>498</t>
        </is>
      </c>
      <c r="B500" t="inlineStr">
        <is>
          <t>LIBRE</t>
        </is>
      </c>
      <c r="C500" s="14" t="n"/>
      <c r="E500" s="15">
        <f>IF($G500&lt;&gt;"PAGADO","",IFERROR(IF(VLOOKUP($A500,COMPRADORES!$A:$D,4,FALSE)="NO","Reservado",LEFT(VLOOKUP($A500,COMPRADORES!$A:$D,2,FALSE),3)&amp;"***"&amp;IF(TRIM(MID(VLOOKUP($A500,COMPRADORES!$A:$D,2,FALSE)&amp;" ",FIND(" ",VLOOKUP($A500,COMPRADORES!$A:$D,2,FALSE)&amp;" ")+1,99))="",""," "&amp;LEFT(TRIM(MID(VLOOKUP($A500,COMPRADORES!$A:$D,2,FALSE)&amp;" ",FIND(" ",VLOOKUP($A500,COMPRADORES!$A:$D,2,FALSE)&amp;" ")+1,99)),1)&amp;".")),""))</f>
        <v/>
      </c>
      <c r="F500" s="16">
        <f>IF($B500="PAGADO",MID("ABCDEFGHIJ",INT(VALUE($A500)/100)+1,1)&amp;"-"&amp;$A500,"")</f>
        <v/>
      </c>
      <c r="G500" s="16">
        <f>IF($B500="PAGADO","PAGADO",IF($B500="APARTADO",IF(NOT(ISNUMBER($C500)),"APARTADO",IF($C500&lt;1,"APARTADO",IF(NOW()-$C500&gt;1,"LIBRE","APARTADO"))),"LIBRE"))</f>
        <v/>
      </c>
      <c r="H500" s="15">
        <f>IF($G500&lt;&gt;"APARTADO","",IF(NOT(ISNUMBER($C500)),"FALTA LA HORA",IF($C500&lt;1,"FALTA LA FECHA",TEXT($C500+1,"dd/mm hh:mm"))))</f>
        <v/>
      </c>
    </row>
    <row r="501">
      <c r="A501" s="13" t="inlineStr">
        <is>
          <t>499</t>
        </is>
      </c>
      <c r="B501" t="inlineStr">
        <is>
          <t>LIBRE</t>
        </is>
      </c>
      <c r="C501" s="14" t="n"/>
      <c r="E501" s="15">
        <f>IF($G501&lt;&gt;"PAGADO","",IFERROR(IF(VLOOKUP($A501,COMPRADORES!$A:$D,4,FALSE)="NO","Reservado",LEFT(VLOOKUP($A501,COMPRADORES!$A:$D,2,FALSE),3)&amp;"***"&amp;IF(TRIM(MID(VLOOKUP($A501,COMPRADORES!$A:$D,2,FALSE)&amp;" ",FIND(" ",VLOOKUP($A501,COMPRADORES!$A:$D,2,FALSE)&amp;" ")+1,99))="",""," "&amp;LEFT(TRIM(MID(VLOOKUP($A501,COMPRADORES!$A:$D,2,FALSE)&amp;" ",FIND(" ",VLOOKUP($A501,COMPRADORES!$A:$D,2,FALSE)&amp;" ")+1,99)),1)&amp;".")),""))</f>
        <v/>
      </c>
      <c r="F501" s="16">
        <f>IF($B501="PAGADO",MID("ABCDEFGHIJ",INT(VALUE($A501)/100)+1,1)&amp;"-"&amp;$A501,"")</f>
        <v/>
      </c>
      <c r="G501" s="16">
        <f>IF($B501="PAGADO","PAGADO",IF($B501="APARTADO",IF(NOT(ISNUMBER($C501)),"APARTADO",IF($C501&lt;1,"APARTADO",IF(NOW()-$C501&gt;1,"LIBRE","APARTADO"))),"LIBRE"))</f>
        <v/>
      </c>
      <c r="H501" s="15">
        <f>IF($G501&lt;&gt;"APARTADO","",IF(NOT(ISNUMBER($C501)),"FALTA LA HORA",IF($C501&lt;1,"FALTA LA FECHA",TEXT($C501+1,"dd/mm hh:mm"))))</f>
        <v/>
      </c>
    </row>
    <row r="502">
      <c r="A502" s="13" t="inlineStr">
        <is>
          <t>500</t>
        </is>
      </c>
      <c r="B502" t="inlineStr">
        <is>
          <t>LIBRE</t>
        </is>
      </c>
      <c r="C502" s="14" t="n"/>
      <c r="E502" s="15">
        <f>IF($G502&lt;&gt;"PAGADO","",IFERROR(IF(VLOOKUP($A502,COMPRADORES!$A:$D,4,FALSE)="NO","Reservado",LEFT(VLOOKUP($A502,COMPRADORES!$A:$D,2,FALSE),3)&amp;"***"&amp;IF(TRIM(MID(VLOOKUP($A502,COMPRADORES!$A:$D,2,FALSE)&amp;" ",FIND(" ",VLOOKUP($A502,COMPRADORES!$A:$D,2,FALSE)&amp;" ")+1,99))="",""," "&amp;LEFT(TRIM(MID(VLOOKUP($A502,COMPRADORES!$A:$D,2,FALSE)&amp;" ",FIND(" ",VLOOKUP($A502,COMPRADORES!$A:$D,2,FALSE)&amp;" ")+1,99)),1)&amp;".")),""))</f>
        <v/>
      </c>
      <c r="F502" s="16">
        <f>IF($B502="PAGADO",MID("ABCDEFGHIJ",INT(VALUE($A502)/100)+1,1)&amp;"-"&amp;$A502,"")</f>
        <v/>
      </c>
      <c r="G502" s="16">
        <f>IF($B502="PAGADO","PAGADO",IF($B502="APARTADO",IF(NOT(ISNUMBER($C502)),"APARTADO",IF($C502&lt;1,"APARTADO",IF(NOW()-$C502&gt;1,"LIBRE","APARTADO"))),"LIBRE"))</f>
        <v/>
      </c>
      <c r="H502" s="15">
        <f>IF($G502&lt;&gt;"APARTADO","",IF(NOT(ISNUMBER($C502)),"FALTA LA HORA",IF($C502&lt;1,"FALTA LA FECHA",TEXT($C502+1,"dd/mm hh:mm"))))</f>
        <v/>
      </c>
    </row>
    <row r="503">
      <c r="A503" s="13" t="inlineStr">
        <is>
          <t>501</t>
        </is>
      </c>
      <c r="B503" t="inlineStr">
        <is>
          <t>LIBRE</t>
        </is>
      </c>
      <c r="C503" s="14" t="n"/>
      <c r="E503" s="15">
        <f>IF($G503&lt;&gt;"PAGADO","",IFERROR(IF(VLOOKUP($A503,COMPRADORES!$A:$D,4,FALSE)="NO","Reservado",LEFT(VLOOKUP($A503,COMPRADORES!$A:$D,2,FALSE),3)&amp;"***"&amp;IF(TRIM(MID(VLOOKUP($A503,COMPRADORES!$A:$D,2,FALSE)&amp;" ",FIND(" ",VLOOKUP($A503,COMPRADORES!$A:$D,2,FALSE)&amp;" ")+1,99))="",""," "&amp;LEFT(TRIM(MID(VLOOKUP($A503,COMPRADORES!$A:$D,2,FALSE)&amp;" ",FIND(" ",VLOOKUP($A503,COMPRADORES!$A:$D,2,FALSE)&amp;" ")+1,99)),1)&amp;".")),""))</f>
        <v/>
      </c>
      <c r="F503" s="16">
        <f>IF($B503="PAGADO",MID("ABCDEFGHIJ",INT(VALUE($A503)/100)+1,1)&amp;"-"&amp;$A503,"")</f>
        <v/>
      </c>
      <c r="G503" s="16">
        <f>IF($B503="PAGADO","PAGADO",IF($B503="APARTADO",IF(NOT(ISNUMBER($C503)),"APARTADO",IF($C503&lt;1,"APARTADO",IF(NOW()-$C503&gt;1,"LIBRE","APARTADO"))),"LIBRE"))</f>
        <v/>
      </c>
      <c r="H503" s="15">
        <f>IF($G503&lt;&gt;"APARTADO","",IF(NOT(ISNUMBER($C503)),"FALTA LA HORA",IF($C503&lt;1,"FALTA LA FECHA",TEXT($C503+1,"dd/mm hh:mm"))))</f>
        <v/>
      </c>
    </row>
    <row r="504">
      <c r="A504" s="13" t="inlineStr">
        <is>
          <t>502</t>
        </is>
      </c>
      <c r="B504" t="inlineStr">
        <is>
          <t>LIBRE</t>
        </is>
      </c>
      <c r="C504" s="14" t="n"/>
      <c r="E504" s="15">
        <f>IF($G504&lt;&gt;"PAGADO","",IFERROR(IF(VLOOKUP($A504,COMPRADORES!$A:$D,4,FALSE)="NO","Reservado",LEFT(VLOOKUP($A504,COMPRADORES!$A:$D,2,FALSE),3)&amp;"***"&amp;IF(TRIM(MID(VLOOKUP($A504,COMPRADORES!$A:$D,2,FALSE)&amp;" ",FIND(" ",VLOOKUP($A504,COMPRADORES!$A:$D,2,FALSE)&amp;" ")+1,99))="",""," "&amp;LEFT(TRIM(MID(VLOOKUP($A504,COMPRADORES!$A:$D,2,FALSE)&amp;" ",FIND(" ",VLOOKUP($A504,COMPRADORES!$A:$D,2,FALSE)&amp;" ")+1,99)),1)&amp;".")),""))</f>
        <v/>
      </c>
      <c r="F504" s="16">
        <f>IF($B504="PAGADO",MID("ABCDEFGHIJ",INT(VALUE($A504)/100)+1,1)&amp;"-"&amp;$A504,"")</f>
        <v/>
      </c>
      <c r="G504" s="16">
        <f>IF($B504="PAGADO","PAGADO",IF($B504="APARTADO",IF(NOT(ISNUMBER($C504)),"APARTADO",IF($C504&lt;1,"APARTADO",IF(NOW()-$C504&gt;1,"LIBRE","APARTADO"))),"LIBRE"))</f>
        <v/>
      </c>
      <c r="H504" s="15">
        <f>IF($G504&lt;&gt;"APARTADO","",IF(NOT(ISNUMBER($C504)),"FALTA LA HORA",IF($C504&lt;1,"FALTA LA FECHA",TEXT($C504+1,"dd/mm hh:mm"))))</f>
        <v/>
      </c>
    </row>
    <row r="505">
      <c r="A505" s="13" t="inlineStr">
        <is>
          <t>503</t>
        </is>
      </c>
      <c r="B505" t="inlineStr">
        <is>
          <t>LIBRE</t>
        </is>
      </c>
      <c r="C505" s="14" t="n"/>
      <c r="E505" s="15">
        <f>IF($G505&lt;&gt;"PAGADO","",IFERROR(IF(VLOOKUP($A505,COMPRADORES!$A:$D,4,FALSE)="NO","Reservado",LEFT(VLOOKUP($A505,COMPRADORES!$A:$D,2,FALSE),3)&amp;"***"&amp;IF(TRIM(MID(VLOOKUP($A505,COMPRADORES!$A:$D,2,FALSE)&amp;" ",FIND(" ",VLOOKUP($A505,COMPRADORES!$A:$D,2,FALSE)&amp;" ")+1,99))="",""," "&amp;LEFT(TRIM(MID(VLOOKUP($A505,COMPRADORES!$A:$D,2,FALSE)&amp;" ",FIND(" ",VLOOKUP($A505,COMPRADORES!$A:$D,2,FALSE)&amp;" ")+1,99)),1)&amp;".")),""))</f>
        <v/>
      </c>
      <c r="F505" s="16">
        <f>IF($B505="PAGADO",MID("ABCDEFGHIJ",INT(VALUE($A505)/100)+1,1)&amp;"-"&amp;$A505,"")</f>
        <v/>
      </c>
      <c r="G505" s="16">
        <f>IF($B505="PAGADO","PAGADO",IF($B505="APARTADO",IF(NOT(ISNUMBER($C505)),"APARTADO",IF($C505&lt;1,"APARTADO",IF(NOW()-$C505&gt;1,"LIBRE","APARTADO"))),"LIBRE"))</f>
        <v/>
      </c>
      <c r="H505" s="15">
        <f>IF($G505&lt;&gt;"APARTADO","",IF(NOT(ISNUMBER($C505)),"FALTA LA HORA",IF($C505&lt;1,"FALTA LA FECHA",TEXT($C505+1,"dd/mm hh:mm"))))</f>
        <v/>
      </c>
    </row>
    <row r="506">
      <c r="A506" s="13" t="inlineStr">
        <is>
          <t>504</t>
        </is>
      </c>
      <c r="B506" t="inlineStr">
        <is>
          <t>LIBRE</t>
        </is>
      </c>
      <c r="C506" s="14" t="n"/>
      <c r="E506" s="15">
        <f>IF($G506&lt;&gt;"PAGADO","",IFERROR(IF(VLOOKUP($A506,COMPRADORES!$A:$D,4,FALSE)="NO","Reservado",LEFT(VLOOKUP($A506,COMPRADORES!$A:$D,2,FALSE),3)&amp;"***"&amp;IF(TRIM(MID(VLOOKUP($A506,COMPRADORES!$A:$D,2,FALSE)&amp;" ",FIND(" ",VLOOKUP($A506,COMPRADORES!$A:$D,2,FALSE)&amp;" ")+1,99))="",""," "&amp;LEFT(TRIM(MID(VLOOKUP($A506,COMPRADORES!$A:$D,2,FALSE)&amp;" ",FIND(" ",VLOOKUP($A506,COMPRADORES!$A:$D,2,FALSE)&amp;" ")+1,99)),1)&amp;".")),""))</f>
        <v/>
      </c>
      <c r="F506" s="16">
        <f>IF($B506="PAGADO",MID("ABCDEFGHIJ",INT(VALUE($A506)/100)+1,1)&amp;"-"&amp;$A506,"")</f>
        <v/>
      </c>
      <c r="G506" s="16">
        <f>IF($B506="PAGADO","PAGADO",IF($B506="APARTADO",IF(NOT(ISNUMBER($C506)),"APARTADO",IF($C506&lt;1,"APARTADO",IF(NOW()-$C506&gt;1,"LIBRE","APARTADO"))),"LIBRE"))</f>
        <v/>
      </c>
      <c r="H506" s="15">
        <f>IF($G506&lt;&gt;"APARTADO","",IF(NOT(ISNUMBER($C506)),"FALTA LA HORA",IF($C506&lt;1,"FALTA LA FECHA",TEXT($C506+1,"dd/mm hh:mm"))))</f>
        <v/>
      </c>
    </row>
    <row r="507">
      <c r="A507" s="13" t="inlineStr">
        <is>
          <t>505</t>
        </is>
      </c>
      <c r="B507" t="inlineStr">
        <is>
          <t>LIBRE</t>
        </is>
      </c>
      <c r="C507" s="14" t="n"/>
      <c r="E507" s="15">
        <f>IF($G507&lt;&gt;"PAGADO","",IFERROR(IF(VLOOKUP($A507,COMPRADORES!$A:$D,4,FALSE)="NO","Reservado",LEFT(VLOOKUP($A507,COMPRADORES!$A:$D,2,FALSE),3)&amp;"***"&amp;IF(TRIM(MID(VLOOKUP($A507,COMPRADORES!$A:$D,2,FALSE)&amp;" ",FIND(" ",VLOOKUP($A507,COMPRADORES!$A:$D,2,FALSE)&amp;" ")+1,99))="",""," "&amp;LEFT(TRIM(MID(VLOOKUP($A507,COMPRADORES!$A:$D,2,FALSE)&amp;" ",FIND(" ",VLOOKUP($A507,COMPRADORES!$A:$D,2,FALSE)&amp;" ")+1,99)),1)&amp;".")),""))</f>
        <v/>
      </c>
      <c r="F507" s="16">
        <f>IF($B507="PAGADO",MID("ABCDEFGHIJ",INT(VALUE($A507)/100)+1,1)&amp;"-"&amp;$A507,"")</f>
        <v/>
      </c>
      <c r="G507" s="16">
        <f>IF($B507="PAGADO","PAGADO",IF($B507="APARTADO",IF(NOT(ISNUMBER($C507)),"APARTADO",IF($C507&lt;1,"APARTADO",IF(NOW()-$C507&gt;1,"LIBRE","APARTADO"))),"LIBRE"))</f>
        <v/>
      </c>
      <c r="H507" s="15">
        <f>IF($G507&lt;&gt;"APARTADO","",IF(NOT(ISNUMBER($C507)),"FALTA LA HORA",IF($C507&lt;1,"FALTA LA FECHA",TEXT($C507+1,"dd/mm hh:mm"))))</f>
        <v/>
      </c>
    </row>
    <row r="508">
      <c r="A508" s="13" t="inlineStr">
        <is>
          <t>506</t>
        </is>
      </c>
      <c r="B508" t="inlineStr">
        <is>
          <t>LIBRE</t>
        </is>
      </c>
      <c r="C508" s="14" t="n"/>
      <c r="E508" s="15">
        <f>IF($G508&lt;&gt;"PAGADO","",IFERROR(IF(VLOOKUP($A508,COMPRADORES!$A:$D,4,FALSE)="NO","Reservado",LEFT(VLOOKUP($A508,COMPRADORES!$A:$D,2,FALSE),3)&amp;"***"&amp;IF(TRIM(MID(VLOOKUP($A508,COMPRADORES!$A:$D,2,FALSE)&amp;" ",FIND(" ",VLOOKUP($A508,COMPRADORES!$A:$D,2,FALSE)&amp;" ")+1,99))="",""," "&amp;LEFT(TRIM(MID(VLOOKUP($A508,COMPRADORES!$A:$D,2,FALSE)&amp;" ",FIND(" ",VLOOKUP($A508,COMPRADORES!$A:$D,2,FALSE)&amp;" ")+1,99)),1)&amp;".")),""))</f>
        <v/>
      </c>
      <c r="F508" s="16">
        <f>IF($B508="PAGADO",MID("ABCDEFGHIJ",INT(VALUE($A508)/100)+1,1)&amp;"-"&amp;$A508,"")</f>
        <v/>
      </c>
      <c r="G508" s="16">
        <f>IF($B508="PAGADO","PAGADO",IF($B508="APARTADO",IF(NOT(ISNUMBER($C508)),"APARTADO",IF($C508&lt;1,"APARTADO",IF(NOW()-$C508&gt;1,"LIBRE","APARTADO"))),"LIBRE"))</f>
        <v/>
      </c>
      <c r="H508" s="15">
        <f>IF($G508&lt;&gt;"APARTADO","",IF(NOT(ISNUMBER($C508)),"FALTA LA HORA",IF($C508&lt;1,"FALTA LA FECHA",TEXT($C508+1,"dd/mm hh:mm"))))</f>
        <v/>
      </c>
    </row>
    <row r="509">
      <c r="A509" s="13" t="inlineStr">
        <is>
          <t>507</t>
        </is>
      </c>
      <c r="B509" t="inlineStr">
        <is>
          <t>LIBRE</t>
        </is>
      </c>
      <c r="C509" s="14" t="n"/>
      <c r="E509" s="15">
        <f>IF($G509&lt;&gt;"PAGADO","",IFERROR(IF(VLOOKUP($A509,COMPRADORES!$A:$D,4,FALSE)="NO","Reservado",LEFT(VLOOKUP($A509,COMPRADORES!$A:$D,2,FALSE),3)&amp;"***"&amp;IF(TRIM(MID(VLOOKUP($A509,COMPRADORES!$A:$D,2,FALSE)&amp;" ",FIND(" ",VLOOKUP($A509,COMPRADORES!$A:$D,2,FALSE)&amp;" ")+1,99))="",""," "&amp;LEFT(TRIM(MID(VLOOKUP($A509,COMPRADORES!$A:$D,2,FALSE)&amp;" ",FIND(" ",VLOOKUP($A509,COMPRADORES!$A:$D,2,FALSE)&amp;" ")+1,99)),1)&amp;".")),""))</f>
        <v/>
      </c>
      <c r="F509" s="16">
        <f>IF($B509="PAGADO",MID("ABCDEFGHIJ",INT(VALUE($A509)/100)+1,1)&amp;"-"&amp;$A509,"")</f>
        <v/>
      </c>
      <c r="G509" s="16">
        <f>IF($B509="PAGADO","PAGADO",IF($B509="APARTADO",IF(NOT(ISNUMBER($C509)),"APARTADO",IF($C509&lt;1,"APARTADO",IF(NOW()-$C509&gt;1,"LIBRE","APARTADO"))),"LIBRE"))</f>
        <v/>
      </c>
      <c r="H509" s="15">
        <f>IF($G509&lt;&gt;"APARTADO","",IF(NOT(ISNUMBER($C509)),"FALTA LA HORA",IF($C509&lt;1,"FALTA LA FECHA",TEXT($C509+1,"dd/mm hh:mm"))))</f>
        <v/>
      </c>
    </row>
    <row r="510">
      <c r="A510" s="13" t="inlineStr">
        <is>
          <t>508</t>
        </is>
      </c>
      <c r="B510" t="inlineStr">
        <is>
          <t>LIBRE</t>
        </is>
      </c>
      <c r="C510" s="14" t="n"/>
      <c r="E510" s="15">
        <f>IF($G510&lt;&gt;"PAGADO","",IFERROR(IF(VLOOKUP($A510,COMPRADORES!$A:$D,4,FALSE)="NO","Reservado",LEFT(VLOOKUP($A510,COMPRADORES!$A:$D,2,FALSE),3)&amp;"***"&amp;IF(TRIM(MID(VLOOKUP($A510,COMPRADORES!$A:$D,2,FALSE)&amp;" ",FIND(" ",VLOOKUP($A510,COMPRADORES!$A:$D,2,FALSE)&amp;" ")+1,99))="",""," "&amp;LEFT(TRIM(MID(VLOOKUP($A510,COMPRADORES!$A:$D,2,FALSE)&amp;" ",FIND(" ",VLOOKUP($A510,COMPRADORES!$A:$D,2,FALSE)&amp;" ")+1,99)),1)&amp;".")),""))</f>
        <v/>
      </c>
      <c r="F510" s="16">
        <f>IF($B510="PAGADO",MID("ABCDEFGHIJ",INT(VALUE($A510)/100)+1,1)&amp;"-"&amp;$A510,"")</f>
        <v/>
      </c>
      <c r="G510" s="16">
        <f>IF($B510="PAGADO","PAGADO",IF($B510="APARTADO",IF(NOT(ISNUMBER($C510)),"APARTADO",IF($C510&lt;1,"APARTADO",IF(NOW()-$C510&gt;1,"LIBRE","APARTADO"))),"LIBRE"))</f>
        <v/>
      </c>
      <c r="H510" s="15">
        <f>IF($G510&lt;&gt;"APARTADO","",IF(NOT(ISNUMBER($C510)),"FALTA LA HORA",IF($C510&lt;1,"FALTA LA FECHA",TEXT($C510+1,"dd/mm hh:mm"))))</f>
        <v/>
      </c>
    </row>
    <row r="511">
      <c r="A511" s="13" t="inlineStr">
        <is>
          <t>509</t>
        </is>
      </c>
      <c r="B511" t="inlineStr">
        <is>
          <t>LIBRE</t>
        </is>
      </c>
      <c r="C511" s="14" t="n"/>
      <c r="E511" s="15">
        <f>IF($G511&lt;&gt;"PAGADO","",IFERROR(IF(VLOOKUP($A511,COMPRADORES!$A:$D,4,FALSE)="NO","Reservado",LEFT(VLOOKUP($A511,COMPRADORES!$A:$D,2,FALSE),3)&amp;"***"&amp;IF(TRIM(MID(VLOOKUP($A511,COMPRADORES!$A:$D,2,FALSE)&amp;" ",FIND(" ",VLOOKUP($A511,COMPRADORES!$A:$D,2,FALSE)&amp;" ")+1,99))="",""," "&amp;LEFT(TRIM(MID(VLOOKUP($A511,COMPRADORES!$A:$D,2,FALSE)&amp;" ",FIND(" ",VLOOKUP($A511,COMPRADORES!$A:$D,2,FALSE)&amp;" ")+1,99)),1)&amp;".")),""))</f>
        <v/>
      </c>
      <c r="F511" s="16">
        <f>IF($B511="PAGADO",MID("ABCDEFGHIJ",INT(VALUE($A511)/100)+1,1)&amp;"-"&amp;$A511,"")</f>
        <v/>
      </c>
      <c r="G511" s="16">
        <f>IF($B511="PAGADO","PAGADO",IF($B511="APARTADO",IF(NOT(ISNUMBER($C511)),"APARTADO",IF($C511&lt;1,"APARTADO",IF(NOW()-$C511&gt;1,"LIBRE","APARTADO"))),"LIBRE"))</f>
        <v/>
      </c>
      <c r="H511" s="15">
        <f>IF($G511&lt;&gt;"APARTADO","",IF(NOT(ISNUMBER($C511)),"FALTA LA HORA",IF($C511&lt;1,"FALTA LA FECHA",TEXT($C511+1,"dd/mm hh:mm"))))</f>
        <v/>
      </c>
    </row>
    <row r="512">
      <c r="A512" s="13" t="inlineStr">
        <is>
          <t>510</t>
        </is>
      </c>
      <c r="B512" t="inlineStr">
        <is>
          <t>LIBRE</t>
        </is>
      </c>
      <c r="C512" s="14" t="n"/>
      <c r="E512" s="15">
        <f>IF($G512&lt;&gt;"PAGADO","",IFERROR(IF(VLOOKUP($A512,COMPRADORES!$A:$D,4,FALSE)="NO","Reservado",LEFT(VLOOKUP($A512,COMPRADORES!$A:$D,2,FALSE),3)&amp;"***"&amp;IF(TRIM(MID(VLOOKUP($A512,COMPRADORES!$A:$D,2,FALSE)&amp;" ",FIND(" ",VLOOKUP($A512,COMPRADORES!$A:$D,2,FALSE)&amp;" ")+1,99))="",""," "&amp;LEFT(TRIM(MID(VLOOKUP($A512,COMPRADORES!$A:$D,2,FALSE)&amp;" ",FIND(" ",VLOOKUP($A512,COMPRADORES!$A:$D,2,FALSE)&amp;" ")+1,99)),1)&amp;".")),""))</f>
        <v/>
      </c>
      <c r="F512" s="16">
        <f>IF($B512="PAGADO",MID("ABCDEFGHIJ",INT(VALUE($A512)/100)+1,1)&amp;"-"&amp;$A512,"")</f>
        <v/>
      </c>
      <c r="G512" s="16">
        <f>IF($B512="PAGADO","PAGADO",IF($B512="APARTADO",IF(NOT(ISNUMBER($C512)),"APARTADO",IF($C512&lt;1,"APARTADO",IF(NOW()-$C512&gt;1,"LIBRE","APARTADO"))),"LIBRE"))</f>
        <v/>
      </c>
      <c r="H512" s="15">
        <f>IF($G512&lt;&gt;"APARTADO","",IF(NOT(ISNUMBER($C512)),"FALTA LA HORA",IF($C512&lt;1,"FALTA LA FECHA",TEXT($C512+1,"dd/mm hh:mm"))))</f>
        <v/>
      </c>
    </row>
    <row r="513">
      <c r="A513" s="13" t="inlineStr">
        <is>
          <t>511</t>
        </is>
      </c>
      <c r="B513" t="inlineStr">
        <is>
          <t>LIBRE</t>
        </is>
      </c>
      <c r="C513" s="14" t="n"/>
      <c r="E513" s="15">
        <f>IF($G513&lt;&gt;"PAGADO","",IFERROR(IF(VLOOKUP($A513,COMPRADORES!$A:$D,4,FALSE)="NO","Reservado",LEFT(VLOOKUP($A513,COMPRADORES!$A:$D,2,FALSE),3)&amp;"***"&amp;IF(TRIM(MID(VLOOKUP($A513,COMPRADORES!$A:$D,2,FALSE)&amp;" ",FIND(" ",VLOOKUP($A513,COMPRADORES!$A:$D,2,FALSE)&amp;" ")+1,99))="",""," "&amp;LEFT(TRIM(MID(VLOOKUP($A513,COMPRADORES!$A:$D,2,FALSE)&amp;" ",FIND(" ",VLOOKUP($A513,COMPRADORES!$A:$D,2,FALSE)&amp;" ")+1,99)),1)&amp;".")),""))</f>
        <v/>
      </c>
      <c r="F513" s="16">
        <f>IF($B513="PAGADO",MID("ABCDEFGHIJ",INT(VALUE($A513)/100)+1,1)&amp;"-"&amp;$A513,"")</f>
        <v/>
      </c>
      <c r="G513" s="16">
        <f>IF($B513="PAGADO","PAGADO",IF($B513="APARTADO",IF(NOT(ISNUMBER($C513)),"APARTADO",IF($C513&lt;1,"APARTADO",IF(NOW()-$C513&gt;1,"LIBRE","APARTADO"))),"LIBRE"))</f>
        <v/>
      </c>
      <c r="H513" s="15">
        <f>IF($G513&lt;&gt;"APARTADO","",IF(NOT(ISNUMBER($C513)),"FALTA LA HORA",IF($C513&lt;1,"FALTA LA FECHA",TEXT($C513+1,"dd/mm hh:mm"))))</f>
        <v/>
      </c>
    </row>
    <row r="514">
      <c r="A514" s="13" t="inlineStr">
        <is>
          <t>512</t>
        </is>
      </c>
      <c r="B514" t="inlineStr">
        <is>
          <t>LIBRE</t>
        </is>
      </c>
      <c r="C514" s="14" t="n"/>
      <c r="E514" s="15">
        <f>IF($G514&lt;&gt;"PAGADO","",IFERROR(IF(VLOOKUP($A514,COMPRADORES!$A:$D,4,FALSE)="NO","Reservado",LEFT(VLOOKUP($A514,COMPRADORES!$A:$D,2,FALSE),3)&amp;"***"&amp;IF(TRIM(MID(VLOOKUP($A514,COMPRADORES!$A:$D,2,FALSE)&amp;" ",FIND(" ",VLOOKUP($A514,COMPRADORES!$A:$D,2,FALSE)&amp;" ")+1,99))="",""," "&amp;LEFT(TRIM(MID(VLOOKUP($A514,COMPRADORES!$A:$D,2,FALSE)&amp;" ",FIND(" ",VLOOKUP($A514,COMPRADORES!$A:$D,2,FALSE)&amp;" ")+1,99)),1)&amp;".")),""))</f>
        <v/>
      </c>
      <c r="F514" s="16">
        <f>IF($B514="PAGADO",MID("ABCDEFGHIJ",INT(VALUE($A514)/100)+1,1)&amp;"-"&amp;$A514,"")</f>
        <v/>
      </c>
      <c r="G514" s="16">
        <f>IF($B514="PAGADO","PAGADO",IF($B514="APARTADO",IF(NOT(ISNUMBER($C514)),"APARTADO",IF($C514&lt;1,"APARTADO",IF(NOW()-$C514&gt;1,"LIBRE","APARTADO"))),"LIBRE"))</f>
        <v/>
      </c>
      <c r="H514" s="15">
        <f>IF($G514&lt;&gt;"APARTADO","",IF(NOT(ISNUMBER($C514)),"FALTA LA HORA",IF($C514&lt;1,"FALTA LA FECHA",TEXT($C514+1,"dd/mm hh:mm"))))</f>
        <v/>
      </c>
    </row>
    <row r="515">
      <c r="A515" s="13" t="inlineStr">
        <is>
          <t>513</t>
        </is>
      </c>
      <c r="B515" t="inlineStr">
        <is>
          <t>LIBRE</t>
        </is>
      </c>
      <c r="C515" s="14" t="n"/>
      <c r="E515" s="15">
        <f>IF($G515&lt;&gt;"PAGADO","",IFERROR(IF(VLOOKUP($A515,COMPRADORES!$A:$D,4,FALSE)="NO","Reservado",LEFT(VLOOKUP($A515,COMPRADORES!$A:$D,2,FALSE),3)&amp;"***"&amp;IF(TRIM(MID(VLOOKUP($A515,COMPRADORES!$A:$D,2,FALSE)&amp;" ",FIND(" ",VLOOKUP($A515,COMPRADORES!$A:$D,2,FALSE)&amp;" ")+1,99))="",""," "&amp;LEFT(TRIM(MID(VLOOKUP($A515,COMPRADORES!$A:$D,2,FALSE)&amp;" ",FIND(" ",VLOOKUP($A515,COMPRADORES!$A:$D,2,FALSE)&amp;" ")+1,99)),1)&amp;".")),""))</f>
        <v/>
      </c>
      <c r="F515" s="16">
        <f>IF($B515="PAGADO",MID("ABCDEFGHIJ",INT(VALUE($A515)/100)+1,1)&amp;"-"&amp;$A515,"")</f>
        <v/>
      </c>
      <c r="G515" s="16">
        <f>IF($B515="PAGADO","PAGADO",IF($B515="APARTADO",IF(NOT(ISNUMBER($C515)),"APARTADO",IF($C515&lt;1,"APARTADO",IF(NOW()-$C515&gt;1,"LIBRE","APARTADO"))),"LIBRE"))</f>
        <v/>
      </c>
      <c r="H515" s="15">
        <f>IF($G515&lt;&gt;"APARTADO","",IF(NOT(ISNUMBER($C515)),"FALTA LA HORA",IF($C515&lt;1,"FALTA LA FECHA",TEXT($C515+1,"dd/mm hh:mm"))))</f>
        <v/>
      </c>
    </row>
    <row r="516">
      <c r="A516" s="13" t="inlineStr">
        <is>
          <t>514</t>
        </is>
      </c>
      <c r="B516" t="inlineStr">
        <is>
          <t>LIBRE</t>
        </is>
      </c>
      <c r="C516" s="14" t="n"/>
      <c r="E516" s="15">
        <f>IF($G516&lt;&gt;"PAGADO","",IFERROR(IF(VLOOKUP($A516,COMPRADORES!$A:$D,4,FALSE)="NO","Reservado",LEFT(VLOOKUP($A516,COMPRADORES!$A:$D,2,FALSE),3)&amp;"***"&amp;IF(TRIM(MID(VLOOKUP($A516,COMPRADORES!$A:$D,2,FALSE)&amp;" ",FIND(" ",VLOOKUP($A516,COMPRADORES!$A:$D,2,FALSE)&amp;" ")+1,99))="",""," "&amp;LEFT(TRIM(MID(VLOOKUP($A516,COMPRADORES!$A:$D,2,FALSE)&amp;" ",FIND(" ",VLOOKUP($A516,COMPRADORES!$A:$D,2,FALSE)&amp;" ")+1,99)),1)&amp;".")),""))</f>
        <v/>
      </c>
      <c r="F516" s="16">
        <f>IF($B516="PAGADO",MID("ABCDEFGHIJ",INT(VALUE($A516)/100)+1,1)&amp;"-"&amp;$A516,"")</f>
        <v/>
      </c>
      <c r="G516" s="16">
        <f>IF($B516="PAGADO","PAGADO",IF($B516="APARTADO",IF(NOT(ISNUMBER($C516)),"APARTADO",IF($C516&lt;1,"APARTADO",IF(NOW()-$C516&gt;1,"LIBRE","APARTADO"))),"LIBRE"))</f>
        <v/>
      </c>
      <c r="H516" s="15">
        <f>IF($G516&lt;&gt;"APARTADO","",IF(NOT(ISNUMBER($C516)),"FALTA LA HORA",IF($C516&lt;1,"FALTA LA FECHA",TEXT($C516+1,"dd/mm hh:mm"))))</f>
        <v/>
      </c>
    </row>
    <row r="517">
      <c r="A517" s="13" t="inlineStr">
        <is>
          <t>515</t>
        </is>
      </c>
      <c r="B517" t="inlineStr">
        <is>
          <t>LIBRE</t>
        </is>
      </c>
      <c r="C517" s="14" t="n"/>
      <c r="E517" s="15">
        <f>IF($G517&lt;&gt;"PAGADO","",IFERROR(IF(VLOOKUP($A517,COMPRADORES!$A:$D,4,FALSE)="NO","Reservado",LEFT(VLOOKUP($A517,COMPRADORES!$A:$D,2,FALSE),3)&amp;"***"&amp;IF(TRIM(MID(VLOOKUP($A517,COMPRADORES!$A:$D,2,FALSE)&amp;" ",FIND(" ",VLOOKUP($A517,COMPRADORES!$A:$D,2,FALSE)&amp;" ")+1,99))="",""," "&amp;LEFT(TRIM(MID(VLOOKUP($A517,COMPRADORES!$A:$D,2,FALSE)&amp;" ",FIND(" ",VLOOKUP($A517,COMPRADORES!$A:$D,2,FALSE)&amp;" ")+1,99)),1)&amp;".")),""))</f>
        <v/>
      </c>
      <c r="F517" s="16">
        <f>IF($B517="PAGADO",MID("ABCDEFGHIJ",INT(VALUE($A517)/100)+1,1)&amp;"-"&amp;$A517,"")</f>
        <v/>
      </c>
      <c r="G517" s="16">
        <f>IF($B517="PAGADO","PAGADO",IF($B517="APARTADO",IF(NOT(ISNUMBER($C517)),"APARTADO",IF($C517&lt;1,"APARTADO",IF(NOW()-$C517&gt;1,"LIBRE","APARTADO"))),"LIBRE"))</f>
        <v/>
      </c>
      <c r="H517" s="15">
        <f>IF($G517&lt;&gt;"APARTADO","",IF(NOT(ISNUMBER($C517)),"FALTA LA HORA",IF($C517&lt;1,"FALTA LA FECHA",TEXT($C517+1,"dd/mm hh:mm"))))</f>
        <v/>
      </c>
    </row>
    <row r="518">
      <c r="A518" s="13" t="inlineStr">
        <is>
          <t>516</t>
        </is>
      </c>
      <c r="B518" t="inlineStr">
        <is>
          <t>LIBRE</t>
        </is>
      </c>
      <c r="C518" s="14" t="n"/>
      <c r="E518" s="15">
        <f>IF($G518&lt;&gt;"PAGADO","",IFERROR(IF(VLOOKUP($A518,COMPRADORES!$A:$D,4,FALSE)="NO","Reservado",LEFT(VLOOKUP($A518,COMPRADORES!$A:$D,2,FALSE),3)&amp;"***"&amp;IF(TRIM(MID(VLOOKUP($A518,COMPRADORES!$A:$D,2,FALSE)&amp;" ",FIND(" ",VLOOKUP($A518,COMPRADORES!$A:$D,2,FALSE)&amp;" ")+1,99))="",""," "&amp;LEFT(TRIM(MID(VLOOKUP($A518,COMPRADORES!$A:$D,2,FALSE)&amp;" ",FIND(" ",VLOOKUP($A518,COMPRADORES!$A:$D,2,FALSE)&amp;" ")+1,99)),1)&amp;".")),""))</f>
        <v/>
      </c>
      <c r="F518" s="16">
        <f>IF($B518="PAGADO",MID("ABCDEFGHIJ",INT(VALUE($A518)/100)+1,1)&amp;"-"&amp;$A518,"")</f>
        <v/>
      </c>
      <c r="G518" s="16">
        <f>IF($B518="PAGADO","PAGADO",IF($B518="APARTADO",IF(NOT(ISNUMBER($C518)),"APARTADO",IF($C518&lt;1,"APARTADO",IF(NOW()-$C518&gt;1,"LIBRE","APARTADO"))),"LIBRE"))</f>
        <v/>
      </c>
      <c r="H518" s="15">
        <f>IF($G518&lt;&gt;"APARTADO","",IF(NOT(ISNUMBER($C518)),"FALTA LA HORA",IF($C518&lt;1,"FALTA LA FECHA",TEXT($C518+1,"dd/mm hh:mm"))))</f>
        <v/>
      </c>
    </row>
    <row r="519">
      <c r="A519" s="13" t="inlineStr">
        <is>
          <t>517</t>
        </is>
      </c>
      <c r="B519" t="inlineStr">
        <is>
          <t>LIBRE</t>
        </is>
      </c>
      <c r="C519" s="14" t="n"/>
      <c r="E519" s="15">
        <f>IF($G519&lt;&gt;"PAGADO","",IFERROR(IF(VLOOKUP($A519,COMPRADORES!$A:$D,4,FALSE)="NO","Reservado",LEFT(VLOOKUP($A519,COMPRADORES!$A:$D,2,FALSE),3)&amp;"***"&amp;IF(TRIM(MID(VLOOKUP($A519,COMPRADORES!$A:$D,2,FALSE)&amp;" ",FIND(" ",VLOOKUP($A519,COMPRADORES!$A:$D,2,FALSE)&amp;" ")+1,99))="",""," "&amp;LEFT(TRIM(MID(VLOOKUP($A519,COMPRADORES!$A:$D,2,FALSE)&amp;" ",FIND(" ",VLOOKUP($A519,COMPRADORES!$A:$D,2,FALSE)&amp;" ")+1,99)),1)&amp;".")),""))</f>
        <v/>
      </c>
      <c r="F519" s="16">
        <f>IF($B519="PAGADO",MID("ABCDEFGHIJ",INT(VALUE($A519)/100)+1,1)&amp;"-"&amp;$A519,"")</f>
        <v/>
      </c>
      <c r="G519" s="16">
        <f>IF($B519="PAGADO","PAGADO",IF($B519="APARTADO",IF(NOT(ISNUMBER($C519)),"APARTADO",IF($C519&lt;1,"APARTADO",IF(NOW()-$C519&gt;1,"LIBRE","APARTADO"))),"LIBRE"))</f>
        <v/>
      </c>
      <c r="H519" s="15">
        <f>IF($G519&lt;&gt;"APARTADO","",IF(NOT(ISNUMBER($C519)),"FALTA LA HORA",IF($C519&lt;1,"FALTA LA FECHA",TEXT($C519+1,"dd/mm hh:mm"))))</f>
        <v/>
      </c>
    </row>
    <row r="520">
      <c r="A520" s="13" t="inlineStr">
        <is>
          <t>518</t>
        </is>
      </c>
      <c r="B520" t="inlineStr">
        <is>
          <t>LIBRE</t>
        </is>
      </c>
      <c r="C520" s="14" t="n"/>
      <c r="E520" s="15">
        <f>IF($G520&lt;&gt;"PAGADO","",IFERROR(IF(VLOOKUP($A520,COMPRADORES!$A:$D,4,FALSE)="NO","Reservado",LEFT(VLOOKUP($A520,COMPRADORES!$A:$D,2,FALSE),3)&amp;"***"&amp;IF(TRIM(MID(VLOOKUP($A520,COMPRADORES!$A:$D,2,FALSE)&amp;" ",FIND(" ",VLOOKUP($A520,COMPRADORES!$A:$D,2,FALSE)&amp;" ")+1,99))="",""," "&amp;LEFT(TRIM(MID(VLOOKUP($A520,COMPRADORES!$A:$D,2,FALSE)&amp;" ",FIND(" ",VLOOKUP($A520,COMPRADORES!$A:$D,2,FALSE)&amp;" ")+1,99)),1)&amp;".")),""))</f>
        <v/>
      </c>
      <c r="F520" s="16">
        <f>IF($B520="PAGADO",MID("ABCDEFGHIJ",INT(VALUE($A520)/100)+1,1)&amp;"-"&amp;$A520,"")</f>
        <v/>
      </c>
      <c r="G520" s="16">
        <f>IF($B520="PAGADO","PAGADO",IF($B520="APARTADO",IF(NOT(ISNUMBER($C520)),"APARTADO",IF($C520&lt;1,"APARTADO",IF(NOW()-$C520&gt;1,"LIBRE","APARTADO"))),"LIBRE"))</f>
        <v/>
      </c>
      <c r="H520" s="15">
        <f>IF($G520&lt;&gt;"APARTADO","",IF(NOT(ISNUMBER($C520)),"FALTA LA HORA",IF($C520&lt;1,"FALTA LA FECHA",TEXT($C520+1,"dd/mm hh:mm"))))</f>
        <v/>
      </c>
    </row>
    <row r="521">
      <c r="A521" s="13" t="inlineStr">
        <is>
          <t>519</t>
        </is>
      </c>
      <c r="B521" t="inlineStr">
        <is>
          <t>LIBRE</t>
        </is>
      </c>
      <c r="C521" s="14" t="n"/>
      <c r="E521" s="15">
        <f>IF($G521&lt;&gt;"PAGADO","",IFERROR(IF(VLOOKUP($A521,COMPRADORES!$A:$D,4,FALSE)="NO","Reservado",LEFT(VLOOKUP($A521,COMPRADORES!$A:$D,2,FALSE),3)&amp;"***"&amp;IF(TRIM(MID(VLOOKUP($A521,COMPRADORES!$A:$D,2,FALSE)&amp;" ",FIND(" ",VLOOKUP($A521,COMPRADORES!$A:$D,2,FALSE)&amp;" ")+1,99))="",""," "&amp;LEFT(TRIM(MID(VLOOKUP($A521,COMPRADORES!$A:$D,2,FALSE)&amp;" ",FIND(" ",VLOOKUP($A521,COMPRADORES!$A:$D,2,FALSE)&amp;" ")+1,99)),1)&amp;".")),""))</f>
        <v/>
      </c>
      <c r="F521" s="16">
        <f>IF($B521="PAGADO",MID("ABCDEFGHIJ",INT(VALUE($A521)/100)+1,1)&amp;"-"&amp;$A521,"")</f>
        <v/>
      </c>
      <c r="G521" s="16">
        <f>IF($B521="PAGADO","PAGADO",IF($B521="APARTADO",IF(NOT(ISNUMBER($C521)),"APARTADO",IF($C521&lt;1,"APARTADO",IF(NOW()-$C521&gt;1,"LIBRE","APARTADO"))),"LIBRE"))</f>
        <v/>
      </c>
      <c r="H521" s="15">
        <f>IF($G521&lt;&gt;"APARTADO","",IF(NOT(ISNUMBER($C521)),"FALTA LA HORA",IF($C521&lt;1,"FALTA LA FECHA",TEXT($C521+1,"dd/mm hh:mm"))))</f>
        <v/>
      </c>
    </row>
    <row r="522">
      <c r="A522" s="13" t="inlineStr">
        <is>
          <t>520</t>
        </is>
      </c>
      <c r="B522" t="inlineStr">
        <is>
          <t>LIBRE</t>
        </is>
      </c>
      <c r="C522" s="14" t="n"/>
      <c r="E522" s="15">
        <f>IF($G522&lt;&gt;"PAGADO","",IFERROR(IF(VLOOKUP($A522,COMPRADORES!$A:$D,4,FALSE)="NO","Reservado",LEFT(VLOOKUP($A522,COMPRADORES!$A:$D,2,FALSE),3)&amp;"***"&amp;IF(TRIM(MID(VLOOKUP($A522,COMPRADORES!$A:$D,2,FALSE)&amp;" ",FIND(" ",VLOOKUP($A522,COMPRADORES!$A:$D,2,FALSE)&amp;" ")+1,99))="",""," "&amp;LEFT(TRIM(MID(VLOOKUP($A522,COMPRADORES!$A:$D,2,FALSE)&amp;" ",FIND(" ",VLOOKUP($A522,COMPRADORES!$A:$D,2,FALSE)&amp;" ")+1,99)),1)&amp;".")),""))</f>
        <v/>
      </c>
      <c r="F522" s="16">
        <f>IF($B522="PAGADO",MID("ABCDEFGHIJ",INT(VALUE($A522)/100)+1,1)&amp;"-"&amp;$A522,"")</f>
        <v/>
      </c>
      <c r="G522" s="16">
        <f>IF($B522="PAGADO","PAGADO",IF($B522="APARTADO",IF(NOT(ISNUMBER($C522)),"APARTADO",IF($C522&lt;1,"APARTADO",IF(NOW()-$C522&gt;1,"LIBRE","APARTADO"))),"LIBRE"))</f>
        <v/>
      </c>
      <c r="H522" s="15">
        <f>IF($G522&lt;&gt;"APARTADO","",IF(NOT(ISNUMBER($C522)),"FALTA LA HORA",IF($C522&lt;1,"FALTA LA FECHA",TEXT($C522+1,"dd/mm hh:mm"))))</f>
        <v/>
      </c>
    </row>
    <row r="523">
      <c r="A523" s="13" t="inlineStr">
        <is>
          <t>521</t>
        </is>
      </c>
      <c r="B523" t="inlineStr">
        <is>
          <t>LIBRE</t>
        </is>
      </c>
      <c r="C523" s="14" t="n"/>
      <c r="E523" s="15">
        <f>IF($G523&lt;&gt;"PAGADO","",IFERROR(IF(VLOOKUP($A523,COMPRADORES!$A:$D,4,FALSE)="NO","Reservado",LEFT(VLOOKUP($A523,COMPRADORES!$A:$D,2,FALSE),3)&amp;"***"&amp;IF(TRIM(MID(VLOOKUP($A523,COMPRADORES!$A:$D,2,FALSE)&amp;" ",FIND(" ",VLOOKUP($A523,COMPRADORES!$A:$D,2,FALSE)&amp;" ")+1,99))="",""," "&amp;LEFT(TRIM(MID(VLOOKUP($A523,COMPRADORES!$A:$D,2,FALSE)&amp;" ",FIND(" ",VLOOKUP($A523,COMPRADORES!$A:$D,2,FALSE)&amp;" ")+1,99)),1)&amp;".")),""))</f>
        <v/>
      </c>
      <c r="F523" s="16">
        <f>IF($B523="PAGADO",MID("ABCDEFGHIJ",INT(VALUE($A523)/100)+1,1)&amp;"-"&amp;$A523,"")</f>
        <v/>
      </c>
      <c r="G523" s="16">
        <f>IF($B523="PAGADO","PAGADO",IF($B523="APARTADO",IF(NOT(ISNUMBER($C523)),"APARTADO",IF($C523&lt;1,"APARTADO",IF(NOW()-$C523&gt;1,"LIBRE","APARTADO"))),"LIBRE"))</f>
        <v/>
      </c>
      <c r="H523" s="15">
        <f>IF($G523&lt;&gt;"APARTADO","",IF(NOT(ISNUMBER($C523)),"FALTA LA HORA",IF($C523&lt;1,"FALTA LA FECHA",TEXT($C523+1,"dd/mm hh:mm"))))</f>
        <v/>
      </c>
    </row>
    <row r="524">
      <c r="A524" s="13" t="inlineStr">
        <is>
          <t>522</t>
        </is>
      </c>
      <c r="B524" t="inlineStr">
        <is>
          <t>LIBRE</t>
        </is>
      </c>
      <c r="C524" s="14" t="n"/>
      <c r="E524" s="15">
        <f>IF($G524&lt;&gt;"PAGADO","",IFERROR(IF(VLOOKUP($A524,COMPRADORES!$A:$D,4,FALSE)="NO","Reservado",LEFT(VLOOKUP($A524,COMPRADORES!$A:$D,2,FALSE),3)&amp;"***"&amp;IF(TRIM(MID(VLOOKUP($A524,COMPRADORES!$A:$D,2,FALSE)&amp;" ",FIND(" ",VLOOKUP($A524,COMPRADORES!$A:$D,2,FALSE)&amp;" ")+1,99))="",""," "&amp;LEFT(TRIM(MID(VLOOKUP($A524,COMPRADORES!$A:$D,2,FALSE)&amp;" ",FIND(" ",VLOOKUP($A524,COMPRADORES!$A:$D,2,FALSE)&amp;" ")+1,99)),1)&amp;".")),""))</f>
        <v/>
      </c>
      <c r="F524" s="16">
        <f>IF($B524="PAGADO",MID("ABCDEFGHIJ",INT(VALUE($A524)/100)+1,1)&amp;"-"&amp;$A524,"")</f>
        <v/>
      </c>
      <c r="G524" s="16">
        <f>IF($B524="PAGADO","PAGADO",IF($B524="APARTADO",IF(NOT(ISNUMBER($C524)),"APARTADO",IF($C524&lt;1,"APARTADO",IF(NOW()-$C524&gt;1,"LIBRE","APARTADO"))),"LIBRE"))</f>
        <v/>
      </c>
      <c r="H524" s="15">
        <f>IF($G524&lt;&gt;"APARTADO","",IF(NOT(ISNUMBER($C524)),"FALTA LA HORA",IF($C524&lt;1,"FALTA LA FECHA",TEXT($C524+1,"dd/mm hh:mm"))))</f>
        <v/>
      </c>
    </row>
    <row r="525">
      <c r="A525" s="13" t="inlineStr">
        <is>
          <t>523</t>
        </is>
      </c>
      <c r="B525" t="inlineStr">
        <is>
          <t>LIBRE</t>
        </is>
      </c>
      <c r="C525" s="14" t="n"/>
      <c r="E525" s="15">
        <f>IF($G525&lt;&gt;"PAGADO","",IFERROR(IF(VLOOKUP($A525,COMPRADORES!$A:$D,4,FALSE)="NO","Reservado",LEFT(VLOOKUP($A525,COMPRADORES!$A:$D,2,FALSE),3)&amp;"***"&amp;IF(TRIM(MID(VLOOKUP($A525,COMPRADORES!$A:$D,2,FALSE)&amp;" ",FIND(" ",VLOOKUP($A525,COMPRADORES!$A:$D,2,FALSE)&amp;" ")+1,99))="",""," "&amp;LEFT(TRIM(MID(VLOOKUP($A525,COMPRADORES!$A:$D,2,FALSE)&amp;" ",FIND(" ",VLOOKUP($A525,COMPRADORES!$A:$D,2,FALSE)&amp;" ")+1,99)),1)&amp;".")),""))</f>
        <v/>
      </c>
      <c r="F525" s="16">
        <f>IF($B525="PAGADO",MID("ABCDEFGHIJ",INT(VALUE($A525)/100)+1,1)&amp;"-"&amp;$A525,"")</f>
        <v/>
      </c>
      <c r="G525" s="16">
        <f>IF($B525="PAGADO","PAGADO",IF($B525="APARTADO",IF(NOT(ISNUMBER($C525)),"APARTADO",IF($C525&lt;1,"APARTADO",IF(NOW()-$C525&gt;1,"LIBRE","APARTADO"))),"LIBRE"))</f>
        <v/>
      </c>
      <c r="H525" s="15">
        <f>IF($G525&lt;&gt;"APARTADO","",IF(NOT(ISNUMBER($C525)),"FALTA LA HORA",IF($C525&lt;1,"FALTA LA FECHA",TEXT($C525+1,"dd/mm hh:mm"))))</f>
        <v/>
      </c>
    </row>
    <row r="526">
      <c r="A526" s="13" t="inlineStr">
        <is>
          <t>524</t>
        </is>
      </c>
      <c r="B526" t="inlineStr">
        <is>
          <t>LIBRE</t>
        </is>
      </c>
      <c r="C526" s="14" t="n"/>
      <c r="E526" s="15">
        <f>IF($G526&lt;&gt;"PAGADO","",IFERROR(IF(VLOOKUP($A526,COMPRADORES!$A:$D,4,FALSE)="NO","Reservado",LEFT(VLOOKUP($A526,COMPRADORES!$A:$D,2,FALSE),3)&amp;"***"&amp;IF(TRIM(MID(VLOOKUP($A526,COMPRADORES!$A:$D,2,FALSE)&amp;" ",FIND(" ",VLOOKUP($A526,COMPRADORES!$A:$D,2,FALSE)&amp;" ")+1,99))="",""," "&amp;LEFT(TRIM(MID(VLOOKUP($A526,COMPRADORES!$A:$D,2,FALSE)&amp;" ",FIND(" ",VLOOKUP($A526,COMPRADORES!$A:$D,2,FALSE)&amp;" ")+1,99)),1)&amp;".")),""))</f>
        <v/>
      </c>
      <c r="F526" s="16">
        <f>IF($B526="PAGADO",MID("ABCDEFGHIJ",INT(VALUE($A526)/100)+1,1)&amp;"-"&amp;$A526,"")</f>
        <v/>
      </c>
      <c r="G526" s="16">
        <f>IF($B526="PAGADO","PAGADO",IF($B526="APARTADO",IF(NOT(ISNUMBER($C526)),"APARTADO",IF($C526&lt;1,"APARTADO",IF(NOW()-$C526&gt;1,"LIBRE","APARTADO"))),"LIBRE"))</f>
        <v/>
      </c>
      <c r="H526" s="15">
        <f>IF($G526&lt;&gt;"APARTADO","",IF(NOT(ISNUMBER($C526)),"FALTA LA HORA",IF($C526&lt;1,"FALTA LA FECHA",TEXT($C526+1,"dd/mm hh:mm"))))</f>
        <v/>
      </c>
    </row>
    <row r="527">
      <c r="A527" s="13" t="inlineStr">
        <is>
          <t>525</t>
        </is>
      </c>
      <c r="B527" t="inlineStr">
        <is>
          <t>LIBRE</t>
        </is>
      </c>
      <c r="C527" s="14" t="n"/>
      <c r="E527" s="15">
        <f>IF($G527&lt;&gt;"PAGADO","",IFERROR(IF(VLOOKUP($A527,COMPRADORES!$A:$D,4,FALSE)="NO","Reservado",LEFT(VLOOKUP($A527,COMPRADORES!$A:$D,2,FALSE),3)&amp;"***"&amp;IF(TRIM(MID(VLOOKUP($A527,COMPRADORES!$A:$D,2,FALSE)&amp;" ",FIND(" ",VLOOKUP($A527,COMPRADORES!$A:$D,2,FALSE)&amp;" ")+1,99))="",""," "&amp;LEFT(TRIM(MID(VLOOKUP($A527,COMPRADORES!$A:$D,2,FALSE)&amp;" ",FIND(" ",VLOOKUP($A527,COMPRADORES!$A:$D,2,FALSE)&amp;" ")+1,99)),1)&amp;".")),""))</f>
        <v/>
      </c>
      <c r="F527" s="16">
        <f>IF($B527="PAGADO",MID("ABCDEFGHIJ",INT(VALUE($A527)/100)+1,1)&amp;"-"&amp;$A527,"")</f>
        <v/>
      </c>
      <c r="G527" s="16">
        <f>IF($B527="PAGADO","PAGADO",IF($B527="APARTADO",IF(NOT(ISNUMBER($C527)),"APARTADO",IF($C527&lt;1,"APARTADO",IF(NOW()-$C527&gt;1,"LIBRE","APARTADO"))),"LIBRE"))</f>
        <v/>
      </c>
      <c r="H527" s="15">
        <f>IF($G527&lt;&gt;"APARTADO","",IF(NOT(ISNUMBER($C527)),"FALTA LA HORA",IF($C527&lt;1,"FALTA LA FECHA",TEXT($C527+1,"dd/mm hh:mm"))))</f>
        <v/>
      </c>
    </row>
    <row r="528">
      <c r="A528" s="13" t="inlineStr">
        <is>
          <t>526</t>
        </is>
      </c>
      <c r="B528" t="inlineStr">
        <is>
          <t>LIBRE</t>
        </is>
      </c>
      <c r="C528" s="14" t="n"/>
      <c r="E528" s="15">
        <f>IF($G528&lt;&gt;"PAGADO","",IFERROR(IF(VLOOKUP($A528,COMPRADORES!$A:$D,4,FALSE)="NO","Reservado",LEFT(VLOOKUP($A528,COMPRADORES!$A:$D,2,FALSE),3)&amp;"***"&amp;IF(TRIM(MID(VLOOKUP($A528,COMPRADORES!$A:$D,2,FALSE)&amp;" ",FIND(" ",VLOOKUP($A528,COMPRADORES!$A:$D,2,FALSE)&amp;" ")+1,99))="",""," "&amp;LEFT(TRIM(MID(VLOOKUP($A528,COMPRADORES!$A:$D,2,FALSE)&amp;" ",FIND(" ",VLOOKUP($A528,COMPRADORES!$A:$D,2,FALSE)&amp;" ")+1,99)),1)&amp;".")),""))</f>
        <v/>
      </c>
      <c r="F528" s="16">
        <f>IF($B528="PAGADO",MID("ABCDEFGHIJ",INT(VALUE($A528)/100)+1,1)&amp;"-"&amp;$A528,"")</f>
        <v/>
      </c>
      <c r="G528" s="16">
        <f>IF($B528="PAGADO","PAGADO",IF($B528="APARTADO",IF(NOT(ISNUMBER($C528)),"APARTADO",IF($C528&lt;1,"APARTADO",IF(NOW()-$C528&gt;1,"LIBRE","APARTADO"))),"LIBRE"))</f>
        <v/>
      </c>
      <c r="H528" s="15">
        <f>IF($G528&lt;&gt;"APARTADO","",IF(NOT(ISNUMBER($C528)),"FALTA LA HORA",IF($C528&lt;1,"FALTA LA FECHA",TEXT($C528+1,"dd/mm hh:mm"))))</f>
        <v/>
      </c>
    </row>
    <row r="529">
      <c r="A529" s="13" t="inlineStr">
        <is>
          <t>527</t>
        </is>
      </c>
      <c r="B529" t="inlineStr">
        <is>
          <t>LIBRE</t>
        </is>
      </c>
      <c r="C529" s="14" t="n"/>
      <c r="E529" s="15">
        <f>IF($G529&lt;&gt;"PAGADO","",IFERROR(IF(VLOOKUP($A529,COMPRADORES!$A:$D,4,FALSE)="NO","Reservado",LEFT(VLOOKUP($A529,COMPRADORES!$A:$D,2,FALSE),3)&amp;"***"&amp;IF(TRIM(MID(VLOOKUP($A529,COMPRADORES!$A:$D,2,FALSE)&amp;" ",FIND(" ",VLOOKUP($A529,COMPRADORES!$A:$D,2,FALSE)&amp;" ")+1,99))="",""," "&amp;LEFT(TRIM(MID(VLOOKUP($A529,COMPRADORES!$A:$D,2,FALSE)&amp;" ",FIND(" ",VLOOKUP($A529,COMPRADORES!$A:$D,2,FALSE)&amp;" ")+1,99)),1)&amp;".")),""))</f>
        <v/>
      </c>
      <c r="F529" s="16">
        <f>IF($B529="PAGADO",MID("ABCDEFGHIJ",INT(VALUE($A529)/100)+1,1)&amp;"-"&amp;$A529,"")</f>
        <v/>
      </c>
      <c r="G529" s="16">
        <f>IF($B529="PAGADO","PAGADO",IF($B529="APARTADO",IF(NOT(ISNUMBER($C529)),"APARTADO",IF($C529&lt;1,"APARTADO",IF(NOW()-$C529&gt;1,"LIBRE","APARTADO"))),"LIBRE"))</f>
        <v/>
      </c>
      <c r="H529" s="15">
        <f>IF($G529&lt;&gt;"APARTADO","",IF(NOT(ISNUMBER($C529)),"FALTA LA HORA",IF($C529&lt;1,"FALTA LA FECHA",TEXT($C529+1,"dd/mm hh:mm"))))</f>
        <v/>
      </c>
    </row>
    <row r="530">
      <c r="A530" s="13" t="inlineStr">
        <is>
          <t>528</t>
        </is>
      </c>
      <c r="B530" t="inlineStr">
        <is>
          <t>LIBRE</t>
        </is>
      </c>
      <c r="C530" s="14" t="n"/>
      <c r="E530" s="15">
        <f>IF($G530&lt;&gt;"PAGADO","",IFERROR(IF(VLOOKUP($A530,COMPRADORES!$A:$D,4,FALSE)="NO","Reservado",LEFT(VLOOKUP($A530,COMPRADORES!$A:$D,2,FALSE),3)&amp;"***"&amp;IF(TRIM(MID(VLOOKUP($A530,COMPRADORES!$A:$D,2,FALSE)&amp;" ",FIND(" ",VLOOKUP($A530,COMPRADORES!$A:$D,2,FALSE)&amp;" ")+1,99))="",""," "&amp;LEFT(TRIM(MID(VLOOKUP($A530,COMPRADORES!$A:$D,2,FALSE)&amp;" ",FIND(" ",VLOOKUP($A530,COMPRADORES!$A:$D,2,FALSE)&amp;" ")+1,99)),1)&amp;".")),""))</f>
        <v/>
      </c>
      <c r="F530" s="16">
        <f>IF($B530="PAGADO",MID("ABCDEFGHIJ",INT(VALUE($A530)/100)+1,1)&amp;"-"&amp;$A530,"")</f>
        <v/>
      </c>
      <c r="G530" s="16">
        <f>IF($B530="PAGADO","PAGADO",IF($B530="APARTADO",IF(NOT(ISNUMBER($C530)),"APARTADO",IF($C530&lt;1,"APARTADO",IF(NOW()-$C530&gt;1,"LIBRE","APARTADO"))),"LIBRE"))</f>
        <v/>
      </c>
      <c r="H530" s="15">
        <f>IF($G530&lt;&gt;"APARTADO","",IF(NOT(ISNUMBER($C530)),"FALTA LA HORA",IF($C530&lt;1,"FALTA LA FECHA",TEXT($C530+1,"dd/mm hh:mm"))))</f>
        <v/>
      </c>
    </row>
    <row r="531">
      <c r="A531" s="13" t="inlineStr">
        <is>
          <t>529</t>
        </is>
      </c>
      <c r="B531" t="inlineStr">
        <is>
          <t>LIBRE</t>
        </is>
      </c>
      <c r="C531" s="14" t="n"/>
      <c r="E531" s="15">
        <f>IF($G531&lt;&gt;"PAGADO","",IFERROR(IF(VLOOKUP($A531,COMPRADORES!$A:$D,4,FALSE)="NO","Reservado",LEFT(VLOOKUP($A531,COMPRADORES!$A:$D,2,FALSE),3)&amp;"***"&amp;IF(TRIM(MID(VLOOKUP($A531,COMPRADORES!$A:$D,2,FALSE)&amp;" ",FIND(" ",VLOOKUP($A531,COMPRADORES!$A:$D,2,FALSE)&amp;" ")+1,99))="",""," "&amp;LEFT(TRIM(MID(VLOOKUP($A531,COMPRADORES!$A:$D,2,FALSE)&amp;" ",FIND(" ",VLOOKUP($A531,COMPRADORES!$A:$D,2,FALSE)&amp;" ")+1,99)),1)&amp;".")),""))</f>
        <v/>
      </c>
      <c r="F531" s="16">
        <f>IF($B531="PAGADO",MID("ABCDEFGHIJ",INT(VALUE($A531)/100)+1,1)&amp;"-"&amp;$A531,"")</f>
        <v/>
      </c>
      <c r="G531" s="16">
        <f>IF($B531="PAGADO","PAGADO",IF($B531="APARTADO",IF(NOT(ISNUMBER($C531)),"APARTADO",IF($C531&lt;1,"APARTADO",IF(NOW()-$C531&gt;1,"LIBRE","APARTADO"))),"LIBRE"))</f>
        <v/>
      </c>
      <c r="H531" s="15">
        <f>IF($G531&lt;&gt;"APARTADO","",IF(NOT(ISNUMBER($C531)),"FALTA LA HORA",IF($C531&lt;1,"FALTA LA FECHA",TEXT($C531+1,"dd/mm hh:mm"))))</f>
        <v/>
      </c>
    </row>
    <row r="532">
      <c r="A532" s="13" t="inlineStr">
        <is>
          <t>530</t>
        </is>
      </c>
      <c r="B532" t="inlineStr">
        <is>
          <t>LIBRE</t>
        </is>
      </c>
      <c r="C532" s="14" t="n"/>
      <c r="E532" s="15">
        <f>IF($G532&lt;&gt;"PAGADO","",IFERROR(IF(VLOOKUP($A532,COMPRADORES!$A:$D,4,FALSE)="NO","Reservado",LEFT(VLOOKUP($A532,COMPRADORES!$A:$D,2,FALSE),3)&amp;"***"&amp;IF(TRIM(MID(VLOOKUP($A532,COMPRADORES!$A:$D,2,FALSE)&amp;" ",FIND(" ",VLOOKUP($A532,COMPRADORES!$A:$D,2,FALSE)&amp;" ")+1,99))="",""," "&amp;LEFT(TRIM(MID(VLOOKUP($A532,COMPRADORES!$A:$D,2,FALSE)&amp;" ",FIND(" ",VLOOKUP($A532,COMPRADORES!$A:$D,2,FALSE)&amp;" ")+1,99)),1)&amp;".")),""))</f>
        <v/>
      </c>
      <c r="F532" s="16">
        <f>IF($B532="PAGADO",MID("ABCDEFGHIJ",INT(VALUE($A532)/100)+1,1)&amp;"-"&amp;$A532,"")</f>
        <v/>
      </c>
      <c r="G532" s="16">
        <f>IF($B532="PAGADO","PAGADO",IF($B532="APARTADO",IF(NOT(ISNUMBER($C532)),"APARTADO",IF($C532&lt;1,"APARTADO",IF(NOW()-$C532&gt;1,"LIBRE","APARTADO"))),"LIBRE"))</f>
        <v/>
      </c>
      <c r="H532" s="15">
        <f>IF($G532&lt;&gt;"APARTADO","",IF(NOT(ISNUMBER($C532)),"FALTA LA HORA",IF($C532&lt;1,"FALTA LA FECHA",TEXT($C532+1,"dd/mm hh:mm"))))</f>
        <v/>
      </c>
    </row>
    <row r="533">
      <c r="A533" s="13" t="inlineStr">
        <is>
          <t>531</t>
        </is>
      </c>
      <c r="B533" t="inlineStr">
        <is>
          <t>LIBRE</t>
        </is>
      </c>
      <c r="C533" s="14" t="n"/>
      <c r="E533" s="15">
        <f>IF($G533&lt;&gt;"PAGADO","",IFERROR(IF(VLOOKUP($A533,COMPRADORES!$A:$D,4,FALSE)="NO","Reservado",LEFT(VLOOKUP($A533,COMPRADORES!$A:$D,2,FALSE),3)&amp;"***"&amp;IF(TRIM(MID(VLOOKUP($A533,COMPRADORES!$A:$D,2,FALSE)&amp;" ",FIND(" ",VLOOKUP($A533,COMPRADORES!$A:$D,2,FALSE)&amp;" ")+1,99))="",""," "&amp;LEFT(TRIM(MID(VLOOKUP($A533,COMPRADORES!$A:$D,2,FALSE)&amp;" ",FIND(" ",VLOOKUP($A533,COMPRADORES!$A:$D,2,FALSE)&amp;" ")+1,99)),1)&amp;".")),""))</f>
        <v/>
      </c>
      <c r="F533" s="16">
        <f>IF($B533="PAGADO",MID("ABCDEFGHIJ",INT(VALUE($A533)/100)+1,1)&amp;"-"&amp;$A533,"")</f>
        <v/>
      </c>
      <c r="G533" s="16">
        <f>IF($B533="PAGADO","PAGADO",IF($B533="APARTADO",IF(NOT(ISNUMBER($C533)),"APARTADO",IF($C533&lt;1,"APARTADO",IF(NOW()-$C533&gt;1,"LIBRE","APARTADO"))),"LIBRE"))</f>
        <v/>
      </c>
      <c r="H533" s="15">
        <f>IF($G533&lt;&gt;"APARTADO","",IF(NOT(ISNUMBER($C533)),"FALTA LA HORA",IF($C533&lt;1,"FALTA LA FECHA",TEXT($C533+1,"dd/mm hh:mm"))))</f>
        <v/>
      </c>
    </row>
    <row r="534">
      <c r="A534" s="13" t="inlineStr">
        <is>
          <t>532</t>
        </is>
      </c>
      <c r="B534" t="inlineStr">
        <is>
          <t>LIBRE</t>
        </is>
      </c>
      <c r="C534" s="14" t="n"/>
      <c r="E534" s="15">
        <f>IF($G534&lt;&gt;"PAGADO","",IFERROR(IF(VLOOKUP($A534,COMPRADORES!$A:$D,4,FALSE)="NO","Reservado",LEFT(VLOOKUP($A534,COMPRADORES!$A:$D,2,FALSE),3)&amp;"***"&amp;IF(TRIM(MID(VLOOKUP($A534,COMPRADORES!$A:$D,2,FALSE)&amp;" ",FIND(" ",VLOOKUP($A534,COMPRADORES!$A:$D,2,FALSE)&amp;" ")+1,99))="",""," "&amp;LEFT(TRIM(MID(VLOOKUP($A534,COMPRADORES!$A:$D,2,FALSE)&amp;" ",FIND(" ",VLOOKUP($A534,COMPRADORES!$A:$D,2,FALSE)&amp;" ")+1,99)),1)&amp;".")),""))</f>
        <v/>
      </c>
      <c r="F534" s="16">
        <f>IF($B534="PAGADO",MID("ABCDEFGHIJ",INT(VALUE($A534)/100)+1,1)&amp;"-"&amp;$A534,"")</f>
        <v/>
      </c>
      <c r="G534" s="16">
        <f>IF($B534="PAGADO","PAGADO",IF($B534="APARTADO",IF(NOT(ISNUMBER($C534)),"APARTADO",IF($C534&lt;1,"APARTADO",IF(NOW()-$C534&gt;1,"LIBRE","APARTADO"))),"LIBRE"))</f>
        <v/>
      </c>
      <c r="H534" s="15">
        <f>IF($G534&lt;&gt;"APARTADO","",IF(NOT(ISNUMBER($C534)),"FALTA LA HORA",IF($C534&lt;1,"FALTA LA FECHA",TEXT($C534+1,"dd/mm hh:mm"))))</f>
        <v/>
      </c>
    </row>
    <row r="535">
      <c r="A535" s="13" t="inlineStr">
        <is>
          <t>533</t>
        </is>
      </c>
      <c r="B535" t="inlineStr">
        <is>
          <t>LIBRE</t>
        </is>
      </c>
      <c r="C535" s="14" t="n"/>
      <c r="E535" s="15">
        <f>IF($G535&lt;&gt;"PAGADO","",IFERROR(IF(VLOOKUP($A535,COMPRADORES!$A:$D,4,FALSE)="NO","Reservado",LEFT(VLOOKUP($A535,COMPRADORES!$A:$D,2,FALSE),3)&amp;"***"&amp;IF(TRIM(MID(VLOOKUP($A535,COMPRADORES!$A:$D,2,FALSE)&amp;" ",FIND(" ",VLOOKUP($A535,COMPRADORES!$A:$D,2,FALSE)&amp;" ")+1,99))="",""," "&amp;LEFT(TRIM(MID(VLOOKUP($A535,COMPRADORES!$A:$D,2,FALSE)&amp;" ",FIND(" ",VLOOKUP($A535,COMPRADORES!$A:$D,2,FALSE)&amp;" ")+1,99)),1)&amp;".")),""))</f>
        <v/>
      </c>
      <c r="F535" s="16">
        <f>IF($B535="PAGADO",MID("ABCDEFGHIJ",INT(VALUE($A535)/100)+1,1)&amp;"-"&amp;$A535,"")</f>
        <v/>
      </c>
      <c r="G535" s="16">
        <f>IF($B535="PAGADO","PAGADO",IF($B535="APARTADO",IF(NOT(ISNUMBER($C535)),"APARTADO",IF($C535&lt;1,"APARTADO",IF(NOW()-$C535&gt;1,"LIBRE","APARTADO"))),"LIBRE"))</f>
        <v/>
      </c>
      <c r="H535" s="15">
        <f>IF($G535&lt;&gt;"APARTADO","",IF(NOT(ISNUMBER($C535)),"FALTA LA HORA",IF($C535&lt;1,"FALTA LA FECHA",TEXT($C535+1,"dd/mm hh:mm"))))</f>
        <v/>
      </c>
    </row>
    <row r="536">
      <c r="A536" s="13" t="inlineStr">
        <is>
          <t>534</t>
        </is>
      </c>
      <c r="B536" t="inlineStr">
        <is>
          <t>LIBRE</t>
        </is>
      </c>
      <c r="C536" s="14" t="n"/>
      <c r="E536" s="15">
        <f>IF($G536&lt;&gt;"PAGADO","",IFERROR(IF(VLOOKUP($A536,COMPRADORES!$A:$D,4,FALSE)="NO","Reservado",LEFT(VLOOKUP($A536,COMPRADORES!$A:$D,2,FALSE),3)&amp;"***"&amp;IF(TRIM(MID(VLOOKUP($A536,COMPRADORES!$A:$D,2,FALSE)&amp;" ",FIND(" ",VLOOKUP($A536,COMPRADORES!$A:$D,2,FALSE)&amp;" ")+1,99))="",""," "&amp;LEFT(TRIM(MID(VLOOKUP($A536,COMPRADORES!$A:$D,2,FALSE)&amp;" ",FIND(" ",VLOOKUP($A536,COMPRADORES!$A:$D,2,FALSE)&amp;" ")+1,99)),1)&amp;".")),""))</f>
        <v/>
      </c>
      <c r="F536" s="16">
        <f>IF($B536="PAGADO",MID("ABCDEFGHIJ",INT(VALUE($A536)/100)+1,1)&amp;"-"&amp;$A536,"")</f>
        <v/>
      </c>
      <c r="G536" s="16">
        <f>IF($B536="PAGADO","PAGADO",IF($B536="APARTADO",IF(NOT(ISNUMBER($C536)),"APARTADO",IF($C536&lt;1,"APARTADO",IF(NOW()-$C536&gt;1,"LIBRE","APARTADO"))),"LIBRE"))</f>
        <v/>
      </c>
      <c r="H536" s="15">
        <f>IF($G536&lt;&gt;"APARTADO","",IF(NOT(ISNUMBER($C536)),"FALTA LA HORA",IF($C536&lt;1,"FALTA LA FECHA",TEXT($C536+1,"dd/mm hh:mm"))))</f>
        <v/>
      </c>
    </row>
    <row r="537">
      <c r="A537" s="13" t="inlineStr">
        <is>
          <t>535</t>
        </is>
      </c>
      <c r="B537" t="inlineStr">
        <is>
          <t>LIBRE</t>
        </is>
      </c>
      <c r="C537" s="14" t="n"/>
      <c r="E537" s="15">
        <f>IF($G537&lt;&gt;"PAGADO","",IFERROR(IF(VLOOKUP($A537,COMPRADORES!$A:$D,4,FALSE)="NO","Reservado",LEFT(VLOOKUP($A537,COMPRADORES!$A:$D,2,FALSE),3)&amp;"***"&amp;IF(TRIM(MID(VLOOKUP($A537,COMPRADORES!$A:$D,2,FALSE)&amp;" ",FIND(" ",VLOOKUP($A537,COMPRADORES!$A:$D,2,FALSE)&amp;" ")+1,99))="",""," "&amp;LEFT(TRIM(MID(VLOOKUP($A537,COMPRADORES!$A:$D,2,FALSE)&amp;" ",FIND(" ",VLOOKUP($A537,COMPRADORES!$A:$D,2,FALSE)&amp;" ")+1,99)),1)&amp;".")),""))</f>
        <v/>
      </c>
      <c r="F537" s="16">
        <f>IF($B537="PAGADO",MID("ABCDEFGHIJ",INT(VALUE($A537)/100)+1,1)&amp;"-"&amp;$A537,"")</f>
        <v/>
      </c>
      <c r="G537" s="16">
        <f>IF($B537="PAGADO","PAGADO",IF($B537="APARTADO",IF(NOT(ISNUMBER($C537)),"APARTADO",IF($C537&lt;1,"APARTADO",IF(NOW()-$C537&gt;1,"LIBRE","APARTADO"))),"LIBRE"))</f>
        <v/>
      </c>
      <c r="H537" s="15">
        <f>IF($G537&lt;&gt;"APARTADO","",IF(NOT(ISNUMBER($C537)),"FALTA LA HORA",IF($C537&lt;1,"FALTA LA FECHA",TEXT($C537+1,"dd/mm hh:mm"))))</f>
        <v/>
      </c>
    </row>
    <row r="538">
      <c r="A538" s="13" t="inlineStr">
        <is>
          <t>536</t>
        </is>
      </c>
      <c r="B538" t="inlineStr">
        <is>
          <t>LIBRE</t>
        </is>
      </c>
      <c r="C538" s="14" t="n"/>
      <c r="E538" s="15">
        <f>IF($G538&lt;&gt;"PAGADO","",IFERROR(IF(VLOOKUP($A538,COMPRADORES!$A:$D,4,FALSE)="NO","Reservado",LEFT(VLOOKUP($A538,COMPRADORES!$A:$D,2,FALSE),3)&amp;"***"&amp;IF(TRIM(MID(VLOOKUP($A538,COMPRADORES!$A:$D,2,FALSE)&amp;" ",FIND(" ",VLOOKUP($A538,COMPRADORES!$A:$D,2,FALSE)&amp;" ")+1,99))="",""," "&amp;LEFT(TRIM(MID(VLOOKUP($A538,COMPRADORES!$A:$D,2,FALSE)&amp;" ",FIND(" ",VLOOKUP($A538,COMPRADORES!$A:$D,2,FALSE)&amp;" ")+1,99)),1)&amp;".")),""))</f>
        <v/>
      </c>
      <c r="F538" s="16">
        <f>IF($B538="PAGADO",MID("ABCDEFGHIJ",INT(VALUE($A538)/100)+1,1)&amp;"-"&amp;$A538,"")</f>
        <v/>
      </c>
      <c r="G538" s="16">
        <f>IF($B538="PAGADO","PAGADO",IF($B538="APARTADO",IF(NOT(ISNUMBER($C538)),"APARTADO",IF($C538&lt;1,"APARTADO",IF(NOW()-$C538&gt;1,"LIBRE","APARTADO"))),"LIBRE"))</f>
        <v/>
      </c>
      <c r="H538" s="15">
        <f>IF($G538&lt;&gt;"APARTADO","",IF(NOT(ISNUMBER($C538)),"FALTA LA HORA",IF($C538&lt;1,"FALTA LA FECHA",TEXT($C538+1,"dd/mm hh:mm"))))</f>
        <v/>
      </c>
    </row>
    <row r="539">
      <c r="A539" s="13" t="inlineStr">
        <is>
          <t>537</t>
        </is>
      </c>
      <c r="B539" t="inlineStr">
        <is>
          <t>LIBRE</t>
        </is>
      </c>
      <c r="C539" s="14" t="n"/>
      <c r="E539" s="15">
        <f>IF($G539&lt;&gt;"PAGADO","",IFERROR(IF(VLOOKUP($A539,COMPRADORES!$A:$D,4,FALSE)="NO","Reservado",LEFT(VLOOKUP($A539,COMPRADORES!$A:$D,2,FALSE),3)&amp;"***"&amp;IF(TRIM(MID(VLOOKUP($A539,COMPRADORES!$A:$D,2,FALSE)&amp;" ",FIND(" ",VLOOKUP($A539,COMPRADORES!$A:$D,2,FALSE)&amp;" ")+1,99))="",""," "&amp;LEFT(TRIM(MID(VLOOKUP($A539,COMPRADORES!$A:$D,2,FALSE)&amp;" ",FIND(" ",VLOOKUP($A539,COMPRADORES!$A:$D,2,FALSE)&amp;" ")+1,99)),1)&amp;".")),""))</f>
        <v/>
      </c>
      <c r="F539" s="16">
        <f>IF($B539="PAGADO",MID("ABCDEFGHIJ",INT(VALUE($A539)/100)+1,1)&amp;"-"&amp;$A539,"")</f>
        <v/>
      </c>
      <c r="G539" s="16">
        <f>IF($B539="PAGADO","PAGADO",IF($B539="APARTADO",IF(NOT(ISNUMBER($C539)),"APARTADO",IF($C539&lt;1,"APARTADO",IF(NOW()-$C539&gt;1,"LIBRE","APARTADO"))),"LIBRE"))</f>
        <v/>
      </c>
      <c r="H539" s="15">
        <f>IF($G539&lt;&gt;"APARTADO","",IF(NOT(ISNUMBER($C539)),"FALTA LA HORA",IF($C539&lt;1,"FALTA LA FECHA",TEXT($C539+1,"dd/mm hh:mm"))))</f>
        <v/>
      </c>
    </row>
    <row r="540">
      <c r="A540" s="13" t="inlineStr">
        <is>
          <t>538</t>
        </is>
      </c>
      <c r="B540" t="inlineStr">
        <is>
          <t>LIBRE</t>
        </is>
      </c>
      <c r="C540" s="14" t="n"/>
      <c r="E540" s="15">
        <f>IF($G540&lt;&gt;"PAGADO","",IFERROR(IF(VLOOKUP($A540,COMPRADORES!$A:$D,4,FALSE)="NO","Reservado",LEFT(VLOOKUP($A540,COMPRADORES!$A:$D,2,FALSE),3)&amp;"***"&amp;IF(TRIM(MID(VLOOKUP($A540,COMPRADORES!$A:$D,2,FALSE)&amp;" ",FIND(" ",VLOOKUP($A540,COMPRADORES!$A:$D,2,FALSE)&amp;" ")+1,99))="",""," "&amp;LEFT(TRIM(MID(VLOOKUP($A540,COMPRADORES!$A:$D,2,FALSE)&amp;" ",FIND(" ",VLOOKUP($A540,COMPRADORES!$A:$D,2,FALSE)&amp;" ")+1,99)),1)&amp;".")),""))</f>
        <v/>
      </c>
      <c r="F540" s="16">
        <f>IF($B540="PAGADO",MID("ABCDEFGHIJ",INT(VALUE($A540)/100)+1,1)&amp;"-"&amp;$A540,"")</f>
        <v/>
      </c>
      <c r="G540" s="16">
        <f>IF($B540="PAGADO","PAGADO",IF($B540="APARTADO",IF(NOT(ISNUMBER($C540)),"APARTADO",IF($C540&lt;1,"APARTADO",IF(NOW()-$C540&gt;1,"LIBRE","APARTADO"))),"LIBRE"))</f>
        <v/>
      </c>
      <c r="H540" s="15">
        <f>IF($G540&lt;&gt;"APARTADO","",IF(NOT(ISNUMBER($C540)),"FALTA LA HORA",IF($C540&lt;1,"FALTA LA FECHA",TEXT($C540+1,"dd/mm hh:mm"))))</f>
        <v/>
      </c>
    </row>
    <row r="541">
      <c r="A541" s="13" t="inlineStr">
        <is>
          <t>539</t>
        </is>
      </c>
      <c r="B541" t="inlineStr">
        <is>
          <t>LIBRE</t>
        </is>
      </c>
      <c r="C541" s="14" t="n"/>
      <c r="E541" s="15">
        <f>IF($G541&lt;&gt;"PAGADO","",IFERROR(IF(VLOOKUP($A541,COMPRADORES!$A:$D,4,FALSE)="NO","Reservado",LEFT(VLOOKUP($A541,COMPRADORES!$A:$D,2,FALSE),3)&amp;"***"&amp;IF(TRIM(MID(VLOOKUP($A541,COMPRADORES!$A:$D,2,FALSE)&amp;" ",FIND(" ",VLOOKUP($A541,COMPRADORES!$A:$D,2,FALSE)&amp;" ")+1,99))="",""," "&amp;LEFT(TRIM(MID(VLOOKUP($A541,COMPRADORES!$A:$D,2,FALSE)&amp;" ",FIND(" ",VLOOKUP($A541,COMPRADORES!$A:$D,2,FALSE)&amp;" ")+1,99)),1)&amp;".")),""))</f>
        <v/>
      </c>
      <c r="F541" s="16">
        <f>IF($B541="PAGADO",MID("ABCDEFGHIJ",INT(VALUE($A541)/100)+1,1)&amp;"-"&amp;$A541,"")</f>
        <v/>
      </c>
      <c r="G541" s="16">
        <f>IF($B541="PAGADO","PAGADO",IF($B541="APARTADO",IF(NOT(ISNUMBER($C541)),"APARTADO",IF($C541&lt;1,"APARTADO",IF(NOW()-$C541&gt;1,"LIBRE","APARTADO"))),"LIBRE"))</f>
        <v/>
      </c>
      <c r="H541" s="15">
        <f>IF($G541&lt;&gt;"APARTADO","",IF(NOT(ISNUMBER($C541)),"FALTA LA HORA",IF($C541&lt;1,"FALTA LA FECHA",TEXT($C541+1,"dd/mm hh:mm"))))</f>
        <v/>
      </c>
    </row>
    <row r="542">
      <c r="A542" s="13" t="inlineStr">
        <is>
          <t>540</t>
        </is>
      </c>
      <c r="B542" t="inlineStr">
        <is>
          <t>LIBRE</t>
        </is>
      </c>
      <c r="C542" s="14" t="n"/>
      <c r="E542" s="15">
        <f>IF($G542&lt;&gt;"PAGADO","",IFERROR(IF(VLOOKUP($A542,COMPRADORES!$A:$D,4,FALSE)="NO","Reservado",LEFT(VLOOKUP($A542,COMPRADORES!$A:$D,2,FALSE),3)&amp;"***"&amp;IF(TRIM(MID(VLOOKUP($A542,COMPRADORES!$A:$D,2,FALSE)&amp;" ",FIND(" ",VLOOKUP($A542,COMPRADORES!$A:$D,2,FALSE)&amp;" ")+1,99))="",""," "&amp;LEFT(TRIM(MID(VLOOKUP($A542,COMPRADORES!$A:$D,2,FALSE)&amp;" ",FIND(" ",VLOOKUP($A542,COMPRADORES!$A:$D,2,FALSE)&amp;" ")+1,99)),1)&amp;".")),""))</f>
        <v/>
      </c>
      <c r="F542" s="16">
        <f>IF($B542="PAGADO",MID("ABCDEFGHIJ",INT(VALUE($A542)/100)+1,1)&amp;"-"&amp;$A542,"")</f>
        <v/>
      </c>
      <c r="G542" s="16">
        <f>IF($B542="PAGADO","PAGADO",IF($B542="APARTADO",IF(NOT(ISNUMBER($C542)),"APARTADO",IF($C542&lt;1,"APARTADO",IF(NOW()-$C542&gt;1,"LIBRE","APARTADO"))),"LIBRE"))</f>
        <v/>
      </c>
      <c r="H542" s="15">
        <f>IF($G542&lt;&gt;"APARTADO","",IF(NOT(ISNUMBER($C542)),"FALTA LA HORA",IF($C542&lt;1,"FALTA LA FECHA",TEXT($C542+1,"dd/mm hh:mm"))))</f>
        <v/>
      </c>
    </row>
    <row r="543">
      <c r="A543" s="13" t="inlineStr">
        <is>
          <t>541</t>
        </is>
      </c>
      <c r="B543" t="inlineStr">
        <is>
          <t>LIBRE</t>
        </is>
      </c>
      <c r="C543" s="14" t="n"/>
      <c r="E543" s="15">
        <f>IF($G543&lt;&gt;"PAGADO","",IFERROR(IF(VLOOKUP($A543,COMPRADORES!$A:$D,4,FALSE)="NO","Reservado",LEFT(VLOOKUP($A543,COMPRADORES!$A:$D,2,FALSE),3)&amp;"***"&amp;IF(TRIM(MID(VLOOKUP($A543,COMPRADORES!$A:$D,2,FALSE)&amp;" ",FIND(" ",VLOOKUP($A543,COMPRADORES!$A:$D,2,FALSE)&amp;" ")+1,99))="",""," "&amp;LEFT(TRIM(MID(VLOOKUP($A543,COMPRADORES!$A:$D,2,FALSE)&amp;" ",FIND(" ",VLOOKUP($A543,COMPRADORES!$A:$D,2,FALSE)&amp;" ")+1,99)),1)&amp;".")),""))</f>
        <v/>
      </c>
      <c r="F543" s="16">
        <f>IF($B543="PAGADO",MID("ABCDEFGHIJ",INT(VALUE($A543)/100)+1,1)&amp;"-"&amp;$A543,"")</f>
        <v/>
      </c>
      <c r="G543" s="16">
        <f>IF($B543="PAGADO","PAGADO",IF($B543="APARTADO",IF(NOT(ISNUMBER($C543)),"APARTADO",IF($C543&lt;1,"APARTADO",IF(NOW()-$C543&gt;1,"LIBRE","APARTADO"))),"LIBRE"))</f>
        <v/>
      </c>
      <c r="H543" s="15">
        <f>IF($G543&lt;&gt;"APARTADO","",IF(NOT(ISNUMBER($C543)),"FALTA LA HORA",IF($C543&lt;1,"FALTA LA FECHA",TEXT($C543+1,"dd/mm hh:mm"))))</f>
        <v/>
      </c>
    </row>
    <row r="544">
      <c r="A544" s="13" t="inlineStr">
        <is>
          <t>542</t>
        </is>
      </c>
      <c r="B544" t="inlineStr">
        <is>
          <t>LIBRE</t>
        </is>
      </c>
      <c r="C544" s="14" t="n"/>
      <c r="E544" s="15">
        <f>IF($G544&lt;&gt;"PAGADO","",IFERROR(IF(VLOOKUP($A544,COMPRADORES!$A:$D,4,FALSE)="NO","Reservado",LEFT(VLOOKUP($A544,COMPRADORES!$A:$D,2,FALSE),3)&amp;"***"&amp;IF(TRIM(MID(VLOOKUP($A544,COMPRADORES!$A:$D,2,FALSE)&amp;" ",FIND(" ",VLOOKUP($A544,COMPRADORES!$A:$D,2,FALSE)&amp;" ")+1,99))="",""," "&amp;LEFT(TRIM(MID(VLOOKUP($A544,COMPRADORES!$A:$D,2,FALSE)&amp;" ",FIND(" ",VLOOKUP($A544,COMPRADORES!$A:$D,2,FALSE)&amp;" ")+1,99)),1)&amp;".")),""))</f>
        <v/>
      </c>
      <c r="F544" s="16">
        <f>IF($B544="PAGADO",MID("ABCDEFGHIJ",INT(VALUE($A544)/100)+1,1)&amp;"-"&amp;$A544,"")</f>
        <v/>
      </c>
      <c r="G544" s="16">
        <f>IF($B544="PAGADO","PAGADO",IF($B544="APARTADO",IF(NOT(ISNUMBER($C544)),"APARTADO",IF($C544&lt;1,"APARTADO",IF(NOW()-$C544&gt;1,"LIBRE","APARTADO"))),"LIBRE"))</f>
        <v/>
      </c>
      <c r="H544" s="15">
        <f>IF($G544&lt;&gt;"APARTADO","",IF(NOT(ISNUMBER($C544)),"FALTA LA HORA",IF($C544&lt;1,"FALTA LA FECHA",TEXT($C544+1,"dd/mm hh:mm"))))</f>
        <v/>
      </c>
    </row>
    <row r="545">
      <c r="A545" s="13" t="inlineStr">
        <is>
          <t>543</t>
        </is>
      </c>
      <c r="B545" t="inlineStr">
        <is>
          <t>LIBRE</t>
        </is>
      </c>
      <c r="C545" s="14" t="n"/>
      <c r="E545" s="15">
        <f>IF($G545&lt;&gt;"PAGADO","",IFERROR(IF(VLOOKUP($A545,COMPRADORES!$A:$D,4,FALSE)="NO","Reservado",LEFT(VLOOKUP($A545,COMPRADORES!$A:$D,2,FALSE),3)&amp;"***"&amp;IF(TRIM(MID(VLOOKUP($A545,COMPRADORES!$A:$D,2,FALSE)&amp;" ",FIND(" ",VLOOKUP($A545,COMPRADORES!$A:$D,2,FALSE)&amp;" ")+1,99))="",""," "&amp;LEFT(TRIM(MID(VLOOKUP($A545,COMPRADORES!$A:$D,2,FALSE)&amp;" ",FIND(" ",VLOOKUP($A545,COMPRADORES!$A:$D,2,FALSE)&amp;" ")+1,99)),1)&amp;".")),""))</f>
        <v/>
      </c>
      <c r="F545" s="16">
        <f>IF($B545="PAGADO",MID("ABCDEFGHIJ",INT(VALUE($A545)/100)+1,1)&amp;"-"&amp;$A545,"")</f>
        <v/>
      </c>
      <c r="G545" s="16">
        <f>IF($B545="PAGADO","PAGADO",IF($B545="APARTADO",IF(NOT(ISNUMBER($C545)),"APARTADO",IF($C545&lt;1,"APARTADO",IF(NOW()-$C545&gt;1,"LIBRE","APARTADO"))),"LIBRE"))</f>
        <v/>
      </c>
      <c r="H545" s="15">
        <f>IF($G545&lt;&gt;"APARTADO","",IF(NOT(ISNUMBER($C545)),"FALTA LA HORA",IF($C545&lt;1,"FALTA LA FECHA",TEXT($C545+1,"dd/mm hh:mm"))))</f>
        <v/>
      </c>
    </row>
    <row r="546">
      <c r="A546" s="13" t="inlineStr">
        <is>
          <t>544</t>
        </is>
      </c>
      <c r="B546" t="inlineStr">
        <is>
          <t>LIBRE</t>
        </is>
      </c>
      <c r="C546" s="14" t="n"/>
      <c r="E546" s="15">
        <f>IF($G546&lt;&gt;"PAGADO","",IFERROR(IF(VLOOKUP($A546,COMPRADORES!$A:$D,4,FALSE)="NO","Reservado",LEFT(VLOOKUP($A546,COMPRADORES!$A:$D,2,FALSE),3)&amp;"***"&amp;IF(TRIM(MID(VLOOKUP($A546,COMPRADORES!$A:$D,2,FALSE)&amp;" ",FIND(" ",VLOOKUP($A546,COMPRADORES!$A:$D,2,FALSE)&amp;" ")+1,99))="",""," "&amp;LEFT(TRIM(MID(VLOOKUP($A546,COMPRADORES!$A:$D,2,FALSE)&amp;" ",FIND(" ",VLOOKUP($A546,COMPRADORES!$A:$D,2,FALSE)&amp;" ")+1,99)),1)&amp;".")),""))</f>
        <v/>
      </c>
      <c r="F546" s="16">
        <f>IF($B546="PAGADO",MID("ABCDEFGHIJ",INT(VALUE($A546)/100)+1,1)&amp;"-"&amp;$A546,"")</f>
        <v/>
      </c>
      <c r="G546" s="16">
        <f>IF($B546="PAGADO","PAGADO",IF($B546="APARTADO",IF(NOT(ISNUMBER($C546)),"APARTADO",IF($C546&lt;1,"APARTADO",IF(NOW()-$C546&gt;1,"LIBRE","APARTADO"))),"LIBRE"))</f>
        <v/>
      </c>
      <c r="H546" s="15">
        <f>IF($G546&lt;&gt;"APARTADO","",IF(NOT(ISNUMBER($C546)),"FALTA LA HORA",IF($C546&lt;1,"FALTA LA FECHA",TEXT($C546+1,"dd/mm hh:mm"))))</f>
        <v/>
      </c>
    </row>
    <row r="547">
      <c r="A547" s="13" t="inlineStr">
        <is>
          <t>545</t>
        </is>
      </c>
      <c r="B547" t="inlineStr">
        <is>
          <t>LIBRE</t>
        </is>
      </c>
      <c r="C547" s="14" t="n"/>
      <c r="E547" s="15">
        <f>IF($G547&lt;&gt;"PAGADO","",IFERROR(IF(VLOOKUP($A547,COMPRADORES!$A:$D,4,FALSE)="NO","Reservado",LEFT(VLOOKUP($A547,COMPRADORES!$A:$D,2,FALSE),3)&amp;"***"&amp;IF(TRIM(MID(VLOOKUP($A547,COMPRADORES!$A:$D,2,FALSE)&amp;" ",FIND(" ",VLOOKUP($A547,COMPRADORES!$A:$D,2,FALSE)&amp;" ")+1,99))="",""," "&amp;LEFT(TRIM(MID(VLOOKUP($A547,COMPRADORES!$A:$D,2,FALSE)&amp;" ",FIND(" ",VLOOKUP($A547,COMPRADORES!$A:$D,2,FALSE)&amp;" ")+1,99)),1)&amp;".")),""))</f>
        <v/>
      </c>
      <c r="F547" s="16">
        <f>IF($B547="PAGADO",MID("ABCDEFGHIJ",INT(VALUE($A547)/100)+1,1)&amp;"-"&amp;$A547,"")</f>
        <v/>
      </c>
      <c r="G547" s="16">
        <f>IF($B547="PAGADO","PAGADO",IF($B547="APARTADO",IF(NOT(ISNUMBER($C547)),"APARTADO",IF($C547&lt;1,"APARTADO",IF(NOW()-$C547&gt;1,"LIBRE","APARTADO"))),"LIBRE"))</f>
        <v/>
      </c>
      <c r="H547" s="15">
        <f>IF($G547&lt;&gt;"APARTADO","",IF(NOT(ISNUMBER($C547)),"FALTA LA HORA",IF($C547&lt;1,"FALTA LA FECHA",TEXT($C547+1,"dd/mm hh:mm"))))</f>
        <v/>
      </c>
    </row>
    <row r="548">
      <c r="A548" s="13" t="inlineStr">
        <is>
          <t>546</t>
        </is>
      </c>
      <c r="B548" t="inlineStr">
        <is>
          <t>LIBRE</t>
        </is>
      </c>
      <c r="C548" s="14" t="n"/>
      <c r="E548" s="15">
        <f>IF($G548&lt;&gt;"PAGADO","",IFERROR(IF(VLOOKUP($A548,COMPRADORES!$A:$D,4,FALSE)="NO","Reservado",LEFT(VLOOKUP($A548,COMPRADORES!$A:$D,2,FALSE),3)&amp;"***"&amp;IF(TRIM(MID(VLOOKUP($A548,COMPRADORES!$A:$D,2,FALSE)&amp;" ",FIND(" ",VLOOKUP($A548,COMPRADORES!$A:$D,2,FALSE)&amp;" ")+1,99))="",""," "&amp;LEFT(TRIM(MID(VLOOKUP($A548,COMPRADORES!$A:$D,2,FALSE)&amp;" ",FIND(" ",VLOOKUP($A548,COMPRADORES!$A:$D,2,FALSE)&amp;" ")+1,99)),1)&amp;".")),""))</f>
        <v/>
      </c>
      <c r="F548" s="16">
        <f>IF($B548="PAGADO",MID("ABCDEFGHIJ",INT(VALUE($A548)/100)+1,1)&amp;"-"&amp;$A548,"")</f>
        <v/>
      </c>
      <c r="G548" s="16">
        <f>IF($B548="PAGADO","PAGADO",IF($B548="APARTADO",IF(NOT(ISNUMBER($C548)),"APARTADO",IF($C548&lt;1,"APARTADO",IF(NOW()-$C548&gt;1,"LIBRE","APARTADO"))),"LIBRE"))</f>
        <v/>
      </c>
      <c r="H548" s="15">
        <f>IF($G548&lt;&gt;"APARTADO","",IF(NOT(ISNUMBER($C548)),"FALTA LA HORA",IF($C548&lt;1,"FALTA LA FECHA",TEXT($C548+1,"dd/mm hh:mm"))))</f>
        <v/>
      </c>
    </row>
    <row r="549">
      <c r="A549" s="13" t="inlineStr">
        <is>
          <t>547</t>
        </is>
      </c>
      <c r="B549" t="inlineStr">
        <is>
          <t>LIBRE</t>
        </is>
      </c>
      <c r="C549" s="14" t="n"/>
      <c r="E549" s="15">
        <f>IF($G549&lt;&gt;"PAGADO","",IFERROR(IF(VLOOKUP($A549,COMPRADORES!$A:$D,4,FALSE)="NO","Reservado",LEFT(VLOOKUP($A549,COMPRADORES!$A:$D,2,FALSE),3)&amp;"***"&amp;IF(TRIM(MID(VLOOKUP($A549,COMPRADORES!$A:$D,2,FALSE)&amp;" ",FIND(" ",VLOOKUP($A549,COMPRADORES!$A:$D,2,FALSE)&amp;" ")+1,99))="",""," "&amp;LEFT(TRIM(MID(VLOOKUP($A549,COMPRADORES!$A:$D,2,FALSE)&amp;" ",FIND(" ",VLOOKUP($A549,COMPRADORES!$A:$D,2,FALSE)&amp;" ")+1,99)),1)&amp;".")),""))</f>
        <v/>
      </c>
      <c r="F549" s="16">
        <f>IF($B549="PAGADO",MID("ABCDEFGHIJ",INT(VALUE($A549)/100)+1,1)&amp;"-"&amp;$A549,"")</f>
        <v/>
      </c>
      <c r="G549" s="16">
        <f>IF($B549="PAGADO","PAGADO",IF($B549="APARTADO",IF(NOT(ISNUMBER($C549)),"APARTADO",IF($C549&lt;1,"APARTADO",IF(NOW()-$C549&gt;1,"LIBRE","APARTADO"))),"LIBRE"))</f>
        <v/>
      </c>
      <c r="H549" s="15">
        <f>IF($G549&lt;&gt;"APARTADO","",IF(NOT(ISNUMBER($C549)),"FALTA LA HORA",IF($C549&lt;1,"FALTA LA FECHA",TEXT($C549+1,"dd/mm hh:mm"))))</f>
        <v/>
      </c>
    </row>
    <row r="550">
      <c r="A550" s="13" t="inlineStr">
        <is>
          <t>548</t>
        </is>
      </c>
      <c r="B550" t="inlineStr">
        <is>
          <t>LIBRE</t>
        </is>
      </c>
      <c r="C550" s="14" t="n"/>
      <c r="E550" s="15">
        <f>IF($G550&lt;&gt;"PAGADO","",IFERROR(IF(VLOOKUP($A550,COMPRADORES!$A:$D,4,FALSE)="NO","Reservado",LEFT(VLOOKUP($A550,COMPRADORES!$A:$D,2,FALSE),3)&amp;"***"&amp;IF(TRIM(MID(VLOOKUP($A550,COMPRADORES!$A:$D,2,FALSE)&amp;" ",FIND(" ",VLOOKUP($A550,COMPRADORES!$A:$D,2,FALSE)&amp;" ")+1,99))="",""," "&amp;LEFT(TRIM(MID(VLOOKUP($A550,COMPRADORES!$A:$D,2,FALSE)&amp;" ",FIND(" ",VLOOKUP($A550,COMPRADORES!$A:$D,2,FALSE)&amp;" ")+1,99)),1)&amp;".")),""))</f>
        <v/>
      </c>
      <c r="F550" s="16">
        <f>IF($B550="PAGADO",MID("ABCDEFGHIJ",INT(VALUE($A550)/100)+1,1)&amp;"-"&amp;$A550,"")</f>
        <v/>
      </c>
      <c r="G550" s="16">
        <f>IF($B550="PAGADO","PAGADO",IF($B550="APARTADO",IF(NOT(ISNUMBER($C550)),"APARTADO",IF($C550&lt;1,"APARTADO",IF(NOW()-$C550&gt;1,"LIBRE","APARTADO"))),"LIBRE"))</f>
        <v/>
      </c>
      <c r="H550" s="15">
        <f>IF($G550&lt;&gt;"APARTADO","",IF(NOT(ISNUMBER($C550)),"FALTA LA HORA",IF($C550&lt;1,"FALTA LA FECHA",TEXT($C550+1,"dd/mm hh:mm"))))</f>
        <v/>
      </c>
    </row>
    <row r="551">
      <c r="A551" s="13" t="inlineStr">
        <is>
          <t>549</t>
        </is>
      </c>
      <c r="B551" t="inlineStr">
        <is>
          <t>LIBRE</t>
        </is>
      </c>
      <c r="C551" s="14" t="n"/>
      <c r="E551" s="15">
        <f>IF($G551&lt;&gt;"PAGADO","",IFERROR(IF(VLOOKUP($A551,COMPRADORES!$A:$D,4,FALSE)="NO","Reservado",LEFT(VLOOKUP($A551,COMPRADORES!$A:$D,2,FALSE),3)&amp;"***"&amp;IF(TRIM(MID(VLOOKUP($A551,COMPRADORES!$A:$D,2,FALSE)&amp;" ",FIND(" ",VLOOKUP($A551,COMPRADORES!$A:$D,2,FALSE)&amp;" ")+1,99))="",""," "&amp;LEFT(TRIM(MID(VLOOKUP($A551,COMPRADORES!$A:$D,2,FALSE)&amp;" ",FIND(" ",VLOOKUP($A551,COMPRADORES!$A:$D,2,FALSE)&amp;" ")+1,99)),1)&amp;".")),""))</f>
        <v/>
      </c>
      <c r="F551" s="16">
        <f>IF($B551="PAGADO",MID("ABCDEFGHIJ",INT(VALUE($A551)/100)+1,1)&amp;"-"&amp;$A551,"")</f>
        <v/>
      </c>
      <c r="G551" s="16">
        <f>IF($B551="PAGADO","PAGADO",IF($B551="APARTADO",IF(NOT(ISNUMBER($C551)),"APARTADO",IF($C551&lt;1,"APARTADO",IF(NOW()-$C551&gt;1,"LIBRE","APARTADO"))),"LIBRE"))</f>
        <v/>
      </c>
      <c r="H551" s="15">
        <f>IF($G551&lt;&gt;"APARTADO","",IF(NOT(ISNUMBER($C551)),"FALTA LA HORA",IF($C551&lt;1,"FALTA LA FECHA",TEXT($C551+1,"dd/mm hh:mm"))))</f>
        <v/>
      </c>
    </row>
    <row r="552">
      <c r="A552" s="13" t="inlineStr">
        <is>
          <t>550</t>
        </is>
      </c>
      <c r="B552" t="inlineStr">
        <is>
          <t>LIBRE</t>
        </is>
      </c>
      <c r="C552" s="14" t="n"/>
      <c r="E552" s="15">
        <f>IF($G552&lt;&gt;"PAGADO","",IFERROR(IF(VLOOKUP($A552,COMPRADORES!$A:$D,4,FALSE)="NO","Reservado",LEFT(VLOOKUP($A552,COMPRADORES!$A:$D,2,FALSE),3)&amp;"***"&amp;IF(TRIM(MID(VLOOKUP($A552,COMPRADORES!$A:$D,2,FALSE)&amp;" ",FIND(" ",VLOOKUP($A552,COMPRADORES!$A:$D,2,FALSE)&amp;" ")+1,99))="",""," "&amp;LEFT(TRIM(MID(VLOOKUP($A552,COMPRADORES!$A:$D,2,FALSE)&amp;" ",FIND(" ",VLOOKUP($A552,COMPRADORES!$A:$D,2,FALSE)&amp;" ")+1,99)),1)&amp;".")),""))</f>
        <v/>
      </c>
      <c r="F552" s="16">
        <f>IF($B552="PAGADO",MID("ABCDEFGHIJ",INT(VALUE($A552)/100)+1,1)&amp;"-"&amp;$A552,"")</f>
        <v/>
      </c>
      <c r="G552" s="16">
        <f>IF($B552="PAGADO","PAGADO",IF($B552="APARTADO",IF(NOT(ISNUMBER($C552)),"APARTADO",IF($C552&lt;1,"APARTADO",IF(NOW()-$C552&gt;1,"LIBRE","APARTADO"))),"LIBRE"))</f>
        <v/>
      </c>
      <c r="H552" s="15">
        <f>IF($G552&lt;&gt;"APARTADO","",IF(NOT(ISNUMBER($C552)),"FALTA LA HORA",IF($C552&lt;1,"FALTA LA FECHA",TEXT($C552+1,"dd/mm hh:mm"))))</f>
        <v/>
      </c>
    </row>
    <row r="553">
      <c r="A553" s="13" t="inlineStr">
        <is>
          <t>551</t>
        </is>
      </c>
      <c r="B553" t="inlineStr">
        <is>
          <t>LIBRE</t>
        </is>
      </c>
      <c r="C553" s="14" t="n"/>
      <c r="E553" s="15">
        <f>IF($G553&lt;&gt;"PAGADO","",IFERROR(IF(VLOOKUP($A553,COMPRADORES!$A:$D,4,FALSE)="NO","Reservado",LEFT(VLOOKUP($A553,COMPRADORES!$A:$D,2,FALSE),3)&amp;"***"&amp;IF(TRIM(MID(VLOOKUP($A553,COMPRADORES!$A:$D,2,FALSE)&amp;" ",FIND(" ",VLOOKUP($A553,COMPRADORES!$A:$D,2,FALSE)&amp;" ")+1,99))="",""," "&amp;LEFT(TRIM(MID(VLOOKUP($A553,COMPRADORES!$A:$D,2,FALSE)&amp;" ",FIND(" ",VLOOKUP($A553,COMPRADORES!$A:$D,2,FALSE)&amp;" ")+1,99)),1)&amp;".")),""))</f>
        <v/>
      </c>
      <c r="F553" s="16">
        <f>IF($B553="PAGADO",MID("ABCDEFGHIJ",INT(VALUE($A553)/100)+1,1)&amp;"-"&amp;$A553,"")</f>
        <v/>
      </c>
      <c r="G553" s="16">
        <f>IF($B553="PAGADO","PAGADO",IF($B553="APARTADO",IF(NOT(ISNUMBER($C553)),"APARTADO",IF($C553&lt;1,"APARTADO",IF(NOW()-$C553&gt;1,"LIBRE","APARTADO"))),"LIBRE"))</f>
        <v/>
      </c>
      <c r="H553" s="15">
        <f>IF($G553&lt;&gt;"APARTADO","",IF(NOT(ISNUMBER($C553)),"FALTA LA HORA",IF($C553&lt;1,"FALTA LA FECHA",TEXT($C553+1,"dd/mm hh:mm"))))</f>
        <v/>
      </c>
    </row>
    <row r="554">
      <c r="A554" s="13" t="inlineStr">
        <is>
          <t>552</t>
        </is>
      </c>
      <c r="B554" t="inlineStr">
        <is>
          <t>LIBRE</t>
        </is>
      </c>
      <c r="C554" s="14" t="n"/>
      <c r="E554" s="15">
        <f>IF($G554&lt;&gt;"PAGADO","",IFERROR(IF(VLOOKUP($A554,COMPRADORES!$A:$D,4,FALSE)="NO","Reservado",LEFT(VLOOKUP($A554,COMPRADORES!$A:$D,2,FALSE),3)&amp;"***"&amp;IF(TRIM(MID(VLOOKUP($A554,COMPRADORES!$A:$D,2,FALSE)&amp;" ",FIND(" ",VLOOKUP($A554,COMPRADORES!$A:$D,2,FALSE)&amp;" ")+1,99))="",""," "&amp;LEFT(TRIM(MID(VLOOKUP($A554,COMPRADORES!$A:$D,2,FALSE)&amp;" ",FIND(" ",VLOOKUP($A554,COMPRADORES!$A:$D,2,FALSE)&amp;" ")+1,99)),1)&amp;".")),""))</f>
        <v/>
      </c>
      <c r="F554" s="16">
        <f>IF($B554="PAGADO",MID("ABCDEFGHIJ",INT(VALUE($A554)/100)+1,1)&amp;"-"&amp;$A554,"")</f>
        <v/>
      </c>
      <c r="G554" s="16">
        <f>IF($B554="PAGADO","PAGADO",IF($B554="APARTADO",IF(NOT(ISNUMBER($C554)),"APARTADO",IF($C554&lt;1,"APARTADO",IF(NOW()-$C554&gt;1,"LIBRE","APARTADO"))),"LIBRE"))</f>
        <v/>
      </c>
      <c r="H554" s="15">
        <f>IF($G554&lt;&gt;"APARTADO","",IF(NOT(ISNUMBER($C554)),"FALTA LA HORA",IF($C554&lt;1,"FALTA LA FECHA",TEXT($C554+1,"dd/mm hh:mm"))))</f>
        <v/>
      </c>
    </row>
    <row r="555">
      <c r="A555" s="13" t="inlineStr">
        <is>
          <t>553</t>
        </is>
      </c>
      <c r="B555" t="inlineStr">
        <is>
          <t>LIBRE</t>
        </is>
      </c>
      <c r="C555" s="14" t="n"/>
      <c r="E555" s="15">
        <f>IF($G555&lt;&gt;"PAGADO","",IFERROR(IF(VLOOKUP($A555,COMPRADORES!$A:$D,4,FALSE)="NO","Reservado",LEFT(VLOOKUP($A555,COMPRADORES!$A:$D,2,FALSE),3)&amp;"***"&amp;IF(TRIM(MID(VLOOKUP($A555,COMPRADORES!$A:$D,2,FALSE)&amp;" ",FIND(" ",VLOOKUP($A555,COMPRADORES!$A:$D,2,FALSE)&amp;" ")+1,99))="",""," "&amp;LEFT(TRIM(MID(VLOOKUP($A555,COMPRADORES!$A:$D,2,FALSE)&amp;" ",FIND(" ",VLOOKUP($A555,COMPRADORES!$A:$D,2,FALSE)&amp;" ")+1,99)),1)&amp;".")),""))</f>
        <v/>
      </c>
      <c r="F555" s="16">
        <f>IF($B555="PAGADO",MID("ABCDEFGHIJ",INT(VALUE($A555)/100)+1,1)&amp;"-"&amp;$A555,"")</f>
        <v/>
      </c>
      <c r="G555" s="16">
        <f>IF($B555="PAGADO","PAGADO",IF($B555="APARTADO",IF(NOT(ISNUMBER($C555)),"APARTADO",IF($C555&lt;1,"APARTADO",IF(NOW()-$C555&gt;1,"LIBRE","APARTADO"))),"LIBRE"))</f>
        <v/>
      </c>
      <c r="H555" s="15">
        <f>IF($G555&lt;&gt;"APARTADO","",IF(NOT(ISNUMBER($C555)),"FALTA LA HORA",IF($C555&lt;1,"FALTA LA FECHA",TEXT($C555+1,"dd/mm hh:mm"))))</f>
        <v/>
      </c>
    </row>
    <row r="556">
      <c r="A556" s="13" t="inlineStr">
        <is>
          <t>554</t>
        </is>
      </c>
      <c r="B556" t="inlineStr">
        <is>
          <t>LIBRE</t>
        </is>
      </c>
      <c r="C556" s="14" t="n"/>
      <c r="E556" s="15">
        <f>IF($G556&lt;&gt;"PAGADO","",IFERROR(IF(VLOOKUP($A556,COMPRADORES!$A:$D,4,FALSE)="NO","Reservado",LEFT(VLOOKUP($A556,COMPRADORES!$A:$D,2,FALSE),3)&amp;"***"&amp;IF(TRIM(MID(VLOOKUP($A556,COMPRADORES!$A:$D,2,FALSE)&amp;" ",FIND(" ",VLOOKUP($A556,COMPRADORES!$A:$D,2,FALSE)&amp;" ")+1,99))="",""," "&amp;LEFT(TRIM(MID(VLOOKUP($A556,COMPRADORES!$A:$D,2,FALSE)&amp;" ",FIND(" ",VLOOKUP($A556,COMPRADORES!$A:$D,2,FALSE)&amp;" ")+1,99)),1)&amp;".")),""))</f>
        <v/>
      </c>
      <c r="F556" s="16">
        <f>IF($B556="PAGADO",MID("ABCDEFGHIJ",INT(VALUE($A556)/100)+1,1)&amp;"-"&amp;$A556,"")</f>
        <v/>
      </c>
      <c r="G556" s="16">
        <f>IF($B556="PAGADO","PAGADO",IF($B556="APARTADO",IF(NOT(ISNUMBER($C556)),"APARTADO",IF($C556&lt;1,"APARTADO",IF(NOW()-$C556&gt;1,"LIBRE","APARTADO"))),"LIBRE"))</f>
        <v/>
      </c>
      <c r="H556" s="15">
        <f>IF($G556&lt;&gt;"APARTADO","",IF(NOT(ISNUMBER($C556)),"FALTA LA HORA",IF($C556&lt;1,"FALTA LA FECHA",TEXT($C556+1,"dd/mm hh:mm"))))</f>
        <v/>
      </c>
    </row>
    <row r="557">
      <c r="A557" s="13" t="inlineStr">
        <is>
          <t>555</t>
        </is>
      </c>
      <c r="B557" t="inlineStr">
        <is>
          <t>LIBRE</t>
        </is>
      </c>
      <c r="C557" s="14" t="n"/>
      <c r="E557" s="15">
        <f>IF($G557&lt;&gt;"PAGADO","",IFERROR(IF(VLOOKUP($A557,COMPRADORES!$A:$D,4,FALSE)="NO","Reservado",LEFT(VLOOKUP($A557,COMPRADORES!$A:$D,2,FALSE),3)&amp;"***"&amp;IF(TRIM(MID(VLOOKUP($A557,COMPRADORES!$A:$D,2,FALSE)&amp;" ",FIND(" ",VLOOKUP($A557,COMPRADORES!$A:$D,2,FALSE)&amp;" ")+1,99))="",""," "&amp;LEFT(TRIM(MID(VLOOKUP($A557,COMPRADORES!$A:$D,2,FALSE)&amp;" ",FIND(" ",VLOOKUP($A557,COMPRADORES!$A:$D,2,FALSE)&amp;" ")+1,99)),1)&amp;".")),""))</f>
        <v/>
      </c>
      <c r="F557" s="16">
        <f>IF($B557="PAGADO",MID("ABCDEFGHIJ",INT(VALUE($A557)/100)+1,1)&amp;"-"&amp;$A557,"")</f>
        <v/>
      </c>
      <c r="G557" s="16">
        <f>IF($B557="PAGADO","PAGADO",IF($B557="APARTADO",IF(NOT(ISNUMBER($C557)),"APARTADO",IF($C557&lt;1,"APARTADO",IF(NOW()-$C557&gt;1,"LIBRE","APARTADO"))),"LIBRE"))</f>
        <v/>
      </c>
      <c r="H557" s="15">
        <f>IF($G557&lt;&gt;"APARTADO","",IF(NOT(ISNUMBER($C557)),"FALTA LA HORA",IF($C557&lt;1,"FALTA LA FECHA",TEXT($C557+1,"dd/mm hh:mm"))))</f>
        <v/>
      </c>
    </row>
    <row r="558">
      <c r="A558" s="13" t="inlineStr">
        <is>
          <t>556</t>
        </is>
      </c>
      <c r="B558" t="inlineStr">
        <is>
          <t>LIBRE</t>
        </is>
      </c>
      <c r="C558" s="14" t="n"/>
      <c r="E558" s="15">
        <f>IF($G558&lt;&gt;"PAGADO","",IFERROR(IF(VLOOKUP($A558,COMPRADORES!$A:$D,4,FALSE)="NO","Reservado",LEFT(VLOOKUP($A558,COMPRADORES!$A:$D,2,FALSE),3)&amp;"***"&amp;IF(TRIM(MID(VLOOKUP($A558,COMPRADORES!$A:$D,2,FALSE)&amp;" ",FIND(" ",VLOOKUP($A558,COMPRADORES!$A:$D,2,FALSE)&amp;" ")+1,99))="",""," "&amp;LEFT(TRIM(MID(VLOOKUP($A558,COMPRADORES!$A:$D,2,FALSE)&amp;" ",FIND(" ",VLOOKUP($A558,COMPRADORES!$A:$D,2,FALSE)&amp;" ")+1,99)),1)&amp;".")),""))</f>
        <v/>
      </c>
      <c r="F558" s="16">
        <f>IF($B558="PAGADO",MID("ABCDEFGHIJ",INT(VALUE($A558)/100)+1,1)&amp;"-"&amp;$A558,"")</f>
        <v/>
      </c>
      <c r="G558" s="16">
        <f>IF($B558="PAGADO","PAGADO",IF($B558="APARTADO",IF(NOT(ISNUMBER($C558)),"APARTADO",IF($C558&lt;1,"APARTADO",IF(NOW()-$C558&gt;1,"LIBRE","APARTADO"))),"LIBRE"))</f>
        <v/>
      </c>
      <c r="H558" s="15">
        <f>IF($G558&lt;&gt;"APARTADO","",IF(NOT(ISNUMBER($C558)),"FALTA LA HORA",IF($C558&lt;1,"FALTA LA FECHA",TEXT($C558+1,"dd/mm hh:mm"))))</f>
        <v/>
      </c>
    </row>
    <row r="559">
      <c r="A559" s="13" t="inlineStr">
        <is>
          <t>557</t>
        </is>
      </c>
      <c r="B559" t="inlineStr">
        <is>
          <t>LIBRE</t>
        </is>
      </c>
      <c r="C559" s="14" t="n"/>
      <c r="E559" s="15">
        <f>IF($G559&lt;&gt;"PAGADO","",IFERROR(IF(VLOOKUP($A559,COMPRADORES!$A:$D,4,FALSE)="NO","Reservado",LEFT(VLOOKUP($A559,COMPRADORES!$A:$D,2,FALSE),3)&amp;"***"&amp;IF(TRIM(MID(VLOOKUP($A559,COMPRADORES!$A:$D,2,FALSE)&amp;" ",FIND(" ",VLOOKUP($A559,COMPRADORES!$A:$D,2,FALSE)&amp;" ")+1,99))="",""," "&amp;LEFT(TRIM(MID(VLOOKUP($A559,COMPRADORES!$A:$D,2,FALSE)&amp;" ",FIND(" ",VLOOKUP($A559,COMPRADORES!$A:$D,2,FALSE)&amp;" ")+1,99)),1)&amp;".")),""))</f>
        <v/>
      </c>
      <c r="F559" s="16">
        <f>IF($B559="PAGADO",MID("ABCDEFGHIJ",INT(VALUE($A559)/100)+1,1)&amp;"-"&amp;$A559,"")</f>
        <v/>
      </c>
      <c r="G559" s="16">
        <f>IF($B559="PAGADO","PAGADO",IF($B559="APARTADO",IF(NOT(ISNUMBER($C559)),"APARTADO",IF($C559&lt;1,"APARTADO",IF(NOW()-$C559&gt;1,"LIBRE","APARTADO"))),"LIBRE"))</f>
        <v/>
      </c>
      <c r="H559" s="15">
        <f>IF($G559&lt;&gt;"APARTADO","",IF(NOT(ISNUMBER($C559)),"FALTA LA HORA",IF($C559&lt;1,"FALTA LA FECHA",TEXT($C559+1,"dd/mm hh:mm"))))</f>
        <v/>
      </c>
    </row>
    <row r="560">
      <c r="A560" s="13" t="inlineStr">
        <is>
          <t>558</t>
        </is>
      </c>
      <c r="B560" t="inlineStr">
        <is>
          <t>LIBRE</t>
        </is>
      </c>
      <c r="C560" s="14" t="n"/>
      <c r="E560" s="15">
        <f>IF($G560&lt;&gt;"PAGADO","",IFERROR(IF(VLOOKUP($A560,COMPRADORES!$A:$D,4,FALSE)="NO","Reservado",LEFT(VLOOKUP($A560,COMPRADORES!$A:$D,2,FALSE),3)&amp;"***"&amp;IF(TRIM(MID(VLOOKUP($A560,COMPRADORES!$A:$D,2,FALSE)&amp;" ",FIND(" ",VLOOKUP($A560,COMPRADORES!$A:$D,2,FALSE)&amp;" ")+1,99))="",""," "&amp;LEFT(TRIM(MID(VLOOKUP($A560,COMPRADORES!$A:$D,2,FALSE)&amp;" ",FIND(" ",VLOOKUP($A560,COMPRADORES!$A:$D,2,FALSE)&amp;" ")+1,99)),1)&amp;".")),""))</f>
        <v/>
      </c>
      <c r="F560" s="16">
        <f>IF($B560="PAGADO",MID("ABCDEFGHIJ",INT(VALUE($A560)/100)+1,1)&amp;"-"&amp;$A560,"")</f>
        <v/>
      </c>
      <c r="G560" s="16">
        <f>IF($B560="PAGADO","PAGADO",IF($B560="APARTADO",IF(NOT(ISNUMBER($C560)),"APARTADO",IF($C560&lt;1,"APARTADO",IF(NOW()-$C560&gt;1,"LIBRE","APARTADO"))),"LIBRE"))</f>
        <v/>
      </c>
      <c r="H560" s="15">
        <f>IF($G560&lt;&gt;"APARTADO","",IF(NOT(ISNUMBER($C560)),"FALTA LA HORA",IF($C560&lt;1,"FALTA LA FECHA",TEXT($C560+1,"dd/mm hh:mm"))))</f>
        <v/>
      </c>
    </row>
    <row r="561">
      <c r="A561" s="13" t="inlineStr">
        <is>
          <t>559</t>
        </is>
      </c>
      <c r="B561" t="inlineStr">
        <is>
          <t>LIBRE</t>
        </is>
      </c>
      <c r="C561" s="14" t="n"/>
      <c r="E561" s="15">
        <f>IF($G561&lt;&gt;"PAGADO","",IFERROR(IF(VLOOKUP($A561,COMPRADORES!$A:$D,4,FALSE)="NO","Reservado",LEFT(VLOOKUP($A561,COMPRADORES!$A:$D,2,FALSE),3)&amp;"***"&amp;IF(TRIM(MID(VLOOKUP($A561,COMPRADORES!$A:$D,2,FALSE)&amp;" ",FIND(" ",VLOOKUP($A561,COMPRADORES!$A:$D,2,FALSE)&amp;" ")+1,99))="",""," "&amp;LEFT(TRIM(MID(VLOOKUP($A561,COMPRADORES!$A:$D,2,FALSE)&amp;" ",FIND(" ",VLOOKUP($A561,COMPRADORES!$A:$D,2,FALSE)&amp;" ")+1,99)),1)&amp;".")),""))</f>
        <v/>
      </c>
      <c r="F561" s="16">
        <f>IF($B561="PAGADO",MID("ABCDEFGHIJ",INT(VALUE($A561)/100)+1,1)&amp;"-"&amp;$A561,"")</f>
        <v/>
      </c>
      <c r="G561" s="16">
        <f>IF($B561="PAGADO","PAGADO",IF($B561="APARTADO",IF(NOT(ISNUMBER($C561)),"APARTADO",IF($C561&lt;1,"APARTADO",IF(NOW()-$C561&gt;1,"LIBRE","APARTADO"))),"LIBRE"))</f>
        <v/>
      </c>
      <c r="H561" s="15">
        <f>IF($G561&lt;&gt;"APARTADO","",IF(NOT(ISNUMBER($C561)),"FALTA LA HORA",IF($C561&lt;1,"FALTA LA FECHA",TEXT($C561+1,"dd/mm hh:mm"))))</f>
        <v/>
      </c>
    </row>
    <row r="562">
      <c r="A562" s="13" t="inlineStr">
        <is>
          <t>560</t>
        </is>
      </c>
      <c r="B562" t="inlineStr">
        <is>
          <t>LIBRE</t>
        </is>
      </c>
      <c r="C562" s="14" t="n"/>
      <c r="E562" s="15">
        <f>IF($G562&lt;&gt;"PAGADO","",IFERROR(IF(VLOOKUP($A562,COMPRADORES!$A:$D,4,FALSE)="NO","Reservado",LEFT(VLOOKUP($A562,COMPRADORES!$A:$D,2,FALSE),3)&amp;"***"&amp;IF(TRIM(MID(VLOOKUP($A562,COMPRADORES!$A:$D,2,FALSE)&amp;" ",FIND(" ",VLOOKUP($A562,COMPRADORES!$A:$D,2,FALSE)&amp;" ")+1,99))="",""," "&amp;LEFT(TRIM(MID(VLOOKUP($A562,COMPRADORES!$A:$D,2,FALSE)&amp;" ",FIND(" ",VLOOKUP($A562,COMPRADORES!$A:$D,2,FALSE)&amp;" ")+1,99)),1)&amp;".")),""))</f>
        <v/>
      </c>
      <c r="F562" s="16">
        <f>IF($B562="PAGADO",MID("ABCDEFGHIJ",INT(VALUE($A562)/100)+1,1)&amp;"-"&amp;$A562,"")</f>
        <v/>
      </c>
      <c r="G562" s="16">
        <f>IF($B562="PAGADO","PAGADO",IF($B562="APARTADO",IF(NOT(ISNUMBER($C562)),"APARTADO",IF($C562&lt;1,"APARTADO",IF(NOW()-$C562&gt;1,"LIBRE","APARTADO"))),"LIBRE"))</f>
        <v/>
      </c>
      <c r="H562" s="15">
        <f>IF($G562&lt;&gt;"APARTADO","",IF(NOT(ISNUMBER($C562)),"FALTA LA HORA",IF($C562&lt;1,"FALTA LA FECHA",TEXT($C562+1,"dd/mm hh:mm"))))</f>
        <v/>
      </c>
    </row>
    <row r="563">
      <c r="A563" s="13" t="inlineStr">
        <is>
          <t>561</t>
        </is>
      </c>
      <c r="B563" t="inlineStr">
        <is>
          <t>LIBRE</t>
        </is>
      </c>
      <c r="C563" s="14" t="n"/>
      <c r="E563" s="15">
        <f>IF($G563&lt;&gt;"PAGADO","",IFERROR(IF(VLOOKUP($A563,COMPRADORES!$A:$D,4,FALSE)="NO","Reservado",LEFT(VLOOKUP($A563,COMPRADORES!$A:$D,2,FALSE),3)&amp;"***"&amp;IF(TRIM(MID(VLOOKUP($A563,COMPRADORES!$A:$D,2,FALSE)&amp;" ",FIND(" ",VLOOKUP($A563,COMPRADORES!$A:$D,2,FALSE)&amp;" ")+1,99))="",""," "&amp;LEFT(TRIM(MID(VLOOKUP($A563,COMPRADORES!$A:$D,2,FALSE)&amp;" ",FIND(" ",VLOOKUP($A563,COMPRADORES!$A:$D,2,FALSE)&amp;" ")+1,99)),1)&amp;".")),""))</f>
        <v/>
      </c>
      <c r="F563" s="16">
        <f>IF($B563="PAGADO",MID("ABCDEFGHIJ",INT(VALUE($A563)/100)+1,1)&amp;"-"&amp;$A563,"")</f>
        <v/>
      </c>
      <c r="G563" s="16">
        <f>IF($B563="PAGADO","PAGADO",IF($B563="APARTADO",IF(NOT(ISNUMBER($C563)),"APARTADO",IF($C563&lt;1,"APARTADO",IF(NOW()-$C563&gt;1,"LIBRE","APARTADO"))),"LIBRE"))</f>
        <v/>
      </c>
      <c r="H563" s="15">
        <f>IF($G563&lt;&gt;"APARTADO","",IF(NOT(ISNUMBER($C563)),"FALTA LA HORA",IF($C563&lt;1,"FALTA LA FECHA",TEXT($C563+1,"dd/mm hh:mm"))))</f>
        <v/>
      </c>
    </row>
    <row r="564">
      <c r="A564" s="13" t="inlineStr">
        <is>
          <t>562</t>
        </is>
      </c>
      <c r="B564" t="inlineStr">
        <is>
          <t>LIBRE</t>
        </is>
      </c>
      <c r="C564" s="14" t="n"/>
      <c r="E564" s="15">
        <f>IF($G564&lt;&gt;"PAGADO","",IFERROR(IF(VLOOKUP($A564,COMPRADORES!$A:$D,4,FALSE)="NO","Reservado",LEFT(VLOOKUP($A564,COMPRADORES!$A:$D,2,FALSE),3)&amp;"***"&amp;IF(TRIM(MID(VLOOKUP($A564,COMPRADORES!$A:$D,2,FALSE)&amp;" ",FIND(" ",VLOOKUP($A564,COMPRADORES!$A:$D,2,FALSE)&amp;" ")+1,99))="",""," "&amp;LEFT(TRIM(MID(VLOOKUP($A564,COMPRADORES!$A:$D,2,FALSE)&amp;" ",FIND(" ",VLOOKUP($A564,COMPRADORES!$A:$D,2,FALSE)&amp;" ")+1,99)),1)&amp;".")),""))</f>
        <v/>
      </c>
      <c r="F564" s="16">
        <f>IF($B564="PAGADO",MID("ABCDEFGHIJ",INT(VALUE($A564)/100)+1,1)&amp;"-"&amp;$A564,"")</f>
        <v/>
      </c>
      <c r="G564" s="16">
        <f>IF($B564="PAGADO","PAGADO",IF($B564="APARTADO",IF(NOT(ISNUMBER($C564)),"APARTADO",IF($C564&lt;1,"APARTADO",IF(NOW()-$C564&gt;1,"LIBRE","APARTADO"))),"LIBRE"))</f>
        <v/>
      </c>
      <c r="H564" s="15">
        <f>IF($G564&lt;&gt;"APARTADO","",IF(NOT(ISNUMBER($C564)),"FALTA LA HORA",IF($C564&lt;1,"FALTA LA FECHA",TEXT($C564+1,"dd/mm hh:mm"))))</f>
        <v/>
      </c>
    </row>
    <row r="565">
      <c r="A565" s="13" t="inlineStr">
        <is>
          <t>563</t>
        </is>
      </c>
      <c r="B565" t="inlineStr">
        <is>
          <t>LIBRE</t>
        </is>
      </c>
      <c r="C565" s="14" t="n"/>
      <c r="E565" s="15">
        <f>IF($G565&lt;&gt;"PAGADO","",IFERROR(IF(VLOOKUP($A565,COMPRADORES!$A:$D,4,FALSE)="NO","Reservado",LEFT(VLOOKUP($A565,COMPRADORES!$A:$D,2,FALSE),3)&amp;"***"&amp;IF(TRIM(MID(VLOOKUP($A565,COMPRADORES!$A:$D,2,FALSE)&amp;" ",FIND(" ",VLOOKUP($A565,COMPRADORES!$A:$D,2,FALSE)&amp;" ")+1,99))="",""," "&amp;LEFT(TRIM(MID(VLOOKUP($A565,COMPRADORES!$A:$D,2,FALSE)&amp;" ",FIND(" ",VLOOKUP($A565,COMPRADORES!$A:$D,2,FALSE)&amp;" ")+1,99)),1)&amp;".")),""))</f>
        <v/>
      </c>
      <c r="F565" s="16">
        <f>IF($B565="PAGADO",MID("ABCDEFGHIJ",INT(VALUE($A565)/100)+1,1)&amp;"-"&amp;$A565,"")</f>
        <v/>
      </c>
      <c r="G565" s="16">
        <f>IF($B565="PAGADO","PAGADO",IF($B565="APARTADO",IF(NOT(ISNUMBER($C565)),"APARTADO",IF($C565&lt;1,"APARTADO",IF(NOW()-$C565&gt;1,"LIBRE","APARTADO"))),"LIBRE"))</f>
        <v/>
      </c>
      <c r="H565" s="15">
        <f>IF($G565&lt;&gt;"APARTADO","",IF(NOT(ISNUMBER($C565)),"FALTA LA HORA",IF($C565&lt;1,"FALTA LA FECHA",TEXT($C565+1,"dd/mm hh:mm"))))</f>
        <v/>
      </c>
    </row>
    <row r="566">
      <c r="A566" s="13" t="inlineStr">
        <is>
          <t>564</t>
        </is>
      </c>
      <c r="B566" t="inlineStr">
        <is>
          <t>LIBRE</t>
        </is>
      </c>
      <c r="C566" s="14" t="n"/>
      <c r="E566" s="15">
        <f>IF($G566&lt;&gt;"PAGADO","",IFERROR(IF(VLOOKUP($A566,COMPRADORES!$A:$D,4,FALSE)="NO","Reservado",LEFT(VLOOKUP($A566,COMPRADORES!$A:$D,2,FALSE),3)&amp;"***"&amp;IF(TRIM(MID(VLOOKUP($A566,COMPRADORES!$A:$D,2,FALSE)&amp;" ",FIND(" ",VLOOKUP($A566,COMPRADORES!$A:$D,2,FALSE)&amp;" ")+1,99))="",""," "&amp;LEFT(TRIM(MID(VLOOKUP($A566,COMPRADORES!$A:$D,2,FALSE)&amp;" ",FIND(" ",VLOOKUP($A566,COMPRADORES!$A:$D,2,FALSE)&amp;" ")+1,99)),1)&amp;".")),""))</f>
        <v/>
      </c>
      <c r="F566" s="16">
        <f>IF($B566="PAGADO",MID("ABCDEFGHIJ",INT(VALUE($A566)/100)+1,1)&amp;"-"&amp;$A566,"")</f>
        <v/>
      </c>
      <c r="G566" s="16">
        <f>IF($B566="PAGADO","PAGADO",IF($B566="APARTADO",IF(NOT(ISNUMBER($C566)),"APARTADO",IF($C566&lt;1,"APARTADO",IF(NOW()-$C566&gt;1,"LIBRE","APARTADO"))),"LIBRE"))</f>
        <v/>
      </c>
      <c r="H566" s="15">
        <f>IF($G566&lt;&gt;"APARTADO","",IF(NOT(ISNUMBER($C566)),"FALTA LA HORA",IF($C566&lt;1,"FALTA LA FECHA",TEXT($C566+1,"dd/mm hh:mm"))))</f>
        <v/>
      </c>
    </row>
    <row r="567">
      <c r="A567" s="13" t="inlineStr">
        <is>
          <t>565</t>
        </is>
      </c>
      <c r="B567" t="inlineStr">
        <is>
          <t>LIBRE</t>
        </is>
      </c>
      <c r="C567" s="14" t="n"/>
      <c r="E567" s="15">
        <f>IF($G567&lt;&gt;"PAGADO","",IFERROR(IF(VLOOKUP($A567,COMPRADORES!$A:$D,4,FALSE)="NO","Reservado",LEFT(VLOOKUP($A567,COMPRADORES!$A:$D,2,FALSE),3)&amp;"***"&amp;IF(TRIM(MID(VLOOKUP($A567,COMPRADORES!$A:$D,2,FALSE)&amp;" ",FIND(" ",VLOOKUP($A567,COMPRADORES!$A:$D,2,FALSE)&amp;" ")+1,99))="",""," "&amp;LEFT(TRIM(MID(VLOOKUP($A567,COMPRADORES!$A:$D,2,FALSE)&amp;" ",FIND(" ",VLOOKUP($A567,COMPRADORES!$A:$D,2,FALSE)&amp;" ")+1,99)),1)&amp;".")),""))</f>
        <v/>
      </c>
      <c r="F567" s="16">
        <f>IF($B567="PAGADO",MID("ABCDEFGHIJ",INT(VALUE($A567)/100)+1,1)&amp;"-"&amp;$A567,"")</f>
        <v/>
      </c>
      <c r="G567" s="16">
        <f>IF($B567="PAGADO","PAGADO",IF($B567="APARTADO",IF(NOT(ISNUMBER($C567)),"APARTADO",IF($C567&lt;1,"APARTADO",IF(NOW()-$C567&gt;1,"LIBRE","APARTADO"))),"LIBRE"))</f>
        <v/>
      </c>
      <c r="H567" s="15">
        <f>IF($G567&lt;&gt;"APARTADO","",IF(NOT(ISNUMBER($C567)),"FALTA LA HORA",IF($C567&lt;1,"FALTA LA FECHA",TEXT($C567+1,"dd/mm hh:mm"))))</f>
        <v/>
      </c>
    </row>
    <row r="568">
      <c r="A568" s="13" t="inlineStr">
        <is>
          <t>566</t>
        </is>
      </c>
      <c r="B568" t="inlineStr">
        <is>
          <t>LIBRE</t>
        </is>
      </c>
      <c r="C568" s="14" t="n"/>
      <c r="E568" s="15">
        <f>IF($G568&lt;&gt;"PAGADO","",IFERROR(IF(VLOOKUP($A568,COMPRADORES!$A:$D,4,FALSE)="NO","Reservado",LEFT(VLOOKUP($A568,COMPRADORES!$A:$D,2,FALSE),3)&amp;"***"&amp;IF(TRIM(MID(VLOOKUP($A568,COMPRADORES!$A:$D,2,FALSE)&amp;" ",FIND(" ",VLOOKUP($A568,COMPRADORES!$A:$D,2,FALSE)&amp;" ")+1,99))="",""," "&amp;LEFT(TRIM(MID(VLOOKUP($A568,COMPRADORES!$A:$D,2,FALSE)&amp;" ",FIND(" ",VLOOKUP($A568,COMPRADORES!$A:$D,2,FALSE)&amp;" ")+1,99)),1)&amp;".")),""))</f>
        <v/>
      </c>
      <c r="F568" s="16">
        <f>IF($B568="PAGADO",MID("ABCDEFGHIJ",INT(VALUE($A568)/100)+1,1)&amp;"-"&amp;$A568,"")</f>
        <v/>
      </c>
      <c r="G568" s="16">
        <f>IF($B568="PAGADO","PAGADO",IF($B568="APARTADO",IF(NOT(ISNUMBER($C568)),"APARTADO",IF($C568&lt;1,"APARTADO",IF(NOW()-$C568&gt;1,"LIBRE","APARTADO"))),"LIBRE"))</f>
        <v/>
      </c>
      <c r="H568" s="15">
        <f>IF($G568&lt;&gt;"APARTADO","",IF(NOT(ISNUMBER($C568)),"FALTA LA HORA",IF($C568&lt;1,"FALTA LA FECHA",TEXT($C568+1,"dd/mm hh:mm"))))</f>
        <v/>
      </c>
    </row>
    <row r="569">
      <c r="A569" s="13" t="inlineStr">
        <is>
          <t>567</t>
        </is>
      </c>
      <c r="B569" t="inlineStr">
        <is>
          <t>LIBRE</t>
        </is>
      </c>
      <c r="C569" s="14" t="n"/>
      <c r="E569" s="15">
        <f>IF($G569&lt;&gt;"PAGADO","",IFERROR(IF(VLOOKUP($A569,COMPRADORES!$A:$D,4,FALSE)="NO","Reservado",LEFT(VLOOKUP($A569,COMPRADORES!$A:$D,2,FALSE),3)&amp;"***"&amp;IF(TRIM(MID(VLOOKUP($A569,COMPRADORES!$A:$D,2,FALSE)&amp;" ",FIND(" ",VLOOKUP($A569,COMPRADORES!$A:$D,2,FALSE)&amp;" ")+1,99))="",""," "&amp;LEFT(TRIM(MID(VLOOKUP($A569,COMPRADORES!$A:$D,2,FALSE)&amp;" ",FIND(" ",VLOOKUP($A569,COMPRADORES!$A:$D,2,FALSE)&amp;" ")+1,99)),1)&amp;".")),""))</f>
        <v/>
      </c>
      <c r="F569" s="16">
        <f>IF($B569="PAGADO",MID("ABCDEFGHIJ",INT(VALUE($A569)/100)+1,1)&amp;"-"&amp;$A569,"")</f>
        <v/>
      </c>
      <c r="G569" s="16">
        <f>IF($B569="PAGADO","PAGADO",IF($B569="APARTADO",IF(NOT(ISNUMBER($C569)),"APARTADO",IF($C569&lt;1,"APARTADO",IF(NOW()-$C569&gt;1,"LIBRE","APARTADO"))),"LIBRE"))</f>
        <v/>
      </c>
      <c r="H569" s="15">
        <f>IF($G569&lt;&gt;"APARTADO","",IF(NOT(ISNUMBER($C569)),"FALTA LA HORA",IF($C569&lt;1,"FALTA LA FECHA",TEXT($C569+1,"dd/mm hh:mm"))))</f>
        <v/>
      </c>
    </row>
    <row r="570">
      <c r="A570" s="13" t="inlineStr">
        <is>
          <t>568</t>
        </is>
      </c>
      <c r="B570" t="inlineStr">
        <is>
          <t>LIBRE</t>
        </is>
      </c>
      <c r="C570" s="14" t="n"/>
      <c r="E570" s="15">
        <f>IF($G570&lt;&gt;"PAGADO","",IFERROR(IF(VLOOKUP($A570,COMPRADORES!$A:$D,4,FALSE)="NO","Reservado",LEFT(VLOOKUP($A570,COMPRADORES!$A:$D,2,FALSE),3)&amp;"***"&amp;IF(TRIM(MID(VLOOKUP($A570,COMPRADORES!$A:$D,2,FALSE)&amp;" ",FIND(" ",VLOOKUP($A570,COMPRADORES!$A:$D,2,FALSE)&amp;" ")+1,99))="",""," "&amp;LEFT(TRIM(MID(VLOOKUP($A570,COMPRADORES!$A:$D,2,FALSE)&amp;" ",FIND(" ",VLOOKUP($A570,COMPRADORES!$A:$D,2,FALSE)&amp;" ")+1,99)),1)&amp;".")),""))</f>
        <v/>
      </c>
      <c r="F570" s="16">
        <f>IF($B570="PAGADO",MID("ABCDEFGHIJ",INT(VALUE($A570)/100)+1,1)&amp;"-"&amp;$A570,"")</f>
        <v/>
      </c>
      <c r="G570" s="16">
        <f>IF($B570="PAGADO","PAGADO",IF($B570="APARTADO",IF(NOT(ISNUMBER($C570)),"APARTADO",IF($C570&lt;1,"APARTADO",IF(NOW()-$C570&gt;1,"LIBRE","APARTADO"))),"LIBRE"))</f>
        <v/>
      </c>
      <c r="H570" s="15">
        <f>IF($G570&lt;&gt;"APARTADO","",IF(NOT(ISNUMBER($C570)),"FALTA LA HORA",IF($C570&lt;1,"FALTA LA FECHA",TEXT($C570+1,"dd/mm hh:mm"))))</f>
        <v/>
      </c>
    </row>
    <row r="571">
      <c r="A571" s="13" t="inlineStr">
        <is>
          <t>569</t>
        </is>
      </c>
      <c r="B571" t="inlineStr">
        <is>
          <t>LIBRE</t>
        </is>
      </c>
      <c r="C571" s="14" t="n"/>
      <c r="E571" s="15">
        <f>IF($G571&lt;&gt;"PAGADO","",IFERROR(IF(VLOOKUP($A571,COMPRADORES!$A:$D,4,FALSE)="NO","Reservado",LEFT(VLOOKUP($A571,COMPRADORES!$A:$D,2,FALSE),3)&amp;"***"&amp;IF(TRIM(MID(VLOOKUP($A571,COMPRADORES!$A:$D,2,FALSE)&amp;" ",FIND(" ",VLOOKUP($A571,COMPRADORES!$A:$D,2,FALSE)&amp;" ")+1,99))="",""," "&amp;LEFT(TRIM(MID(VLOOKUP($A571,COMPRADORES!$A:$D,2,FALSE)&amp;" ",FIND(" ",VLOOKUP($A571,COMPRADORES!$A:$D,2,FALSE)&amp;" ")+1,99)),1)&amp;".")),""))</f>
        <v/>
      </c>
      <c r="F571" s="16">
        <f>IF($B571="PAGADO",MID("ABCDEFGHIJ",INT(VALUE($A571)/100)+1,1)&amp;"-"&amp;$A571,"")</f>
        <v/>
      </c>
      <c r="G571" s="16">
        <f>IF($B571="PAGADO","PAGADO",IF($B571="APARTADO",IF(NOT(ISNUMBER($C571)),"APARTADO",IF($C571&lt;1,"APARTADO",IF(NOW()-$C571&gt;1,"LIBRE","APARTADO"))),"LIBRE"))</f>
        <v/>
      </c>
      <c r="H571" s="15">
        <f>IF($G571&lt;&gt;"APARTADO","",IF(NOT(ISNUMBER($C571)),"FALTA LA HORA",IF($C571&lt;1,"FALTA LA FECHA",TEXT($C571+1,"dd/mm hh:mm"))))</f>
        <v/>
      </c>
    </row>
    <row r="572">
      <c r="A572" s="13" t="inlineStr">
        <is>
          <t>570</t>
        </is>
      </c>
      <c r="B572" t="inlineStr">
        <is>
          <t>LIBRE</t>
        </is>
      </c>
      <c r="C572" s="14" t="n"/>
      <c r="E572" s="15">
        <f>IF($G572&lt;&gt;"PAGADO","",IFERROR(IF(VLOOKUP($A572,COMPRADORES!$A:$D,4,FALSE)="NO","Reservado",LEFT(VLOOKUP($A572,COMPRADORES!$A:$D,2,FALSE),3)&amp;"***"&amp;IF(TRIM(MID(VLOOKUP($A572,COMPRADORES!$A:$D,2,FALSE)&amp;" ",FIND(" ",VLOOKUP($A572,COMPRADORES!$A:$D,2,FALSE)&amp;" ")+1,99))="",""," "&amp;LEFT(TRIM(MID(VLOOKUP($A572,COMPRADORES!$A:$D,2,FALSE)&amp;" ",FIND(" ",VLOOKUP($A572,COMPRADORES!$A:$D,2,FALSE)&amp;" ")+1,99)),1)&amp;".")),""))</f>
        <v/>
      </c>
      <c r="F572" s="16">
        <f>IF($B572="PAGADO",MID("ABCDEFGHIJ",INT(VALUE($A572)/100)+1,1)&amp;"-"&amp;$A572,"")</f>
        <v/>
      </c>
      <c r="G572" s="16">
        <f>IF($B572="PAGADO","PAGADO",IF($B572="APARTADO",IF(NOT(ISNUMBER($C572)),"APARTADO",IF($C572&lt;1,"APARTADO",IF(NOW()-$C572&gt;1,"LIBRE","APARTADO"))),"LIBRE"))</f>
        <v/>
      </c>
      <c r="H572" s="15">
        <f>IF($G572&lt;&gt;"APARTADO","",IF(NOT(ISNUMBER($C572)),"FALTA LA HORA",IF($C572&lt;1,"FALTA LA FECHA",TEXT($C572+1,"dd/mm hh:mm"))))</f>
        <v/>
      </c>
    </row>
    <row r="573">
      <c r="A573" s="13" t="inlineStr">
        <is>
          <t>571</t>
        </is>
      </c>
      <c r="B573" t="inlineStr">
        <is>
          <t>LIBRE</t>
        </is>
      </c>
      <c r="C573" s="14" t="n"/>
      <c r="E573" s="15">
        <f>IF($G573&lt;&gt;"PAGADO","",IFERROR(IF(VLOOKUP($A573,COMPRADORES!$A:$D,4,FALSE)="NO","Reservado",LEFT(VLOOKUP($A573,COMPRADORES!$A:$D,2,FALSE),3)&amp;"***"&amp;IF(TRIM(MID(VLOOKUP($A573,COMPRADORES!$A:$D,2,FALSE)&amp;" ",FIND(" ",VLOOKUP($A573,COMPRADORES!$A:$D,2,FALSE)&amp;" ")+1,99))="",""," "&amp;LEFT(TRIM(MID(VLOOKUP($A573,COMPRADORES!$A:$D,2,FALSE)&amp;" ",FIND(" ",VLOOKUP($A573,COMPRADORES!$A:$D,2,FALSE)&amp;" ")+1,99)),1)&amp;".")),""))</f>
        <v/>
      </c>
      <c r="F573" s="16">
        <f>IF($B573="PAGADO",MID("ABCDEFGHIJ",INT(VALUE($A573)/100)+1,1)&amp;"-"&amp;$A573,"")</f>
        <v/>
      </c>
      <c r="G573" s="16">
        <f>IF($B573="PAGADO","PAGADO",IF($B573="APARTADO",IF(NOT(ISNUMBER($C573)),"APARTADO",IF($C573&lt;1,"APARTADO",IF(NOW()-$C573&gt;1,"LIBRE","APARTADO"))),"LIBRE"))</f>
        <v/>
      </c>
      <c r="H573" s="15">
        <f>IF($G573&lt;&gt;"APARTADO","",IF(NOT(ISNUMBER($C573)),"FALTA LA HORA",IF($C573&lt;1,"FALTA LA FECHA",TEXT($C573+1,"dd/mm hh:mm"))))</f>
        <v/>
      </c>
    </row>
    <row r="574">
      <c r="A574" s="13" t="inlineStr">
        <is>
          <t>572</t>
        </is>
      </c>
      <c r="B574" t="inlineStr">
        <is>
          <t>LIBRE</t>
        </is>
      </c>
      <c r="C574" s="14" t="n"/>
      <c r="E574" s="15">
        <f>IF($G574&lt;&gt;"PAGADO","",IFERROR(IF(VLOOKUP($A574,COMPRADORES!$A:$D,4,FALSE)="NO","Reservado",LEFT(VLOOKUP($A574,COMPRADORES!$A:$D,2,FALSE),3)&amp;"***"&amp;IF(TRIM(MID(VLOOKUP($A574,COMPRADORES!$A:$D,2,FALSE)&amp;" ",FIND(" ",VLOOKUP($A574,COMPRADORES!$A:$D,2,FALSE)&amp;" ")+1,99))="",""," "&amp;LEFT(TRIM(MID(VLOOKUP($A574,COMPRADORES!$A:$D,2,FALSE)&amp;" ",FIND(" ",VLOOKUP($A574,COMPRADORES!$A:$D,2,FALSE)&amp;" ")+1,99)),1)&amp;".")),""))</f>
        <v/>
      </c>
      <c r="F574" s="16">
        <f>IF($B574="PAGADO",MID("ABCDEFGHIJ",INT(VALUE($A574)/100)+1,1)&amp;"-"&amp;$A574,"")</f>
        <v/>
      </c>
      <c r="G574" s="16">
        <f>IF($B574="PAGADO","PAGADO",IF($B574="APARTADO",IF(NOT(ISNUMBER($C574)),"APARTADO",IF($C574&lt;1,"APARTADO",IF(NOW()-$C574&gt;1,"LIBRE","APARTADO"))),"LIBRE"))</f>
        <v/>
      </c>
      <c r="H574" s="15">
        <f>IF($G574&lt;&gt;"APARTADO","",IF(NOT(ISNUMBER($C574)),"FALTA LA HORA",IF($C574&lt;1,"FALTA LA FECHA",TEXT($C574+1,"dd/mm hh:mm"))))</f>
        <v/>
      </c>
    </row>
    <row r="575">
      <c r="A575" s="13" t="inlineStr">
        <is>
          <t>573</t>
        </is>
      </c>
      <c r="B575" t="inlineStr">
        <is>
          <t>LIBRE</t>
        </is>
      </c>
      <c r="C575" s="14" t="n"/>
      <c r="E575" s="15">
        <f>IF($G575&lt;&gt;"PAGADO","",IFERROR(IF(VLOOKUP($A575,COMPRADORES!$A:$D,4,FALSE)="NO","Reservado",LEFT(VLOOKUP($A575,COMPRADORES!$A:$D,2,FALSE),3)&amp;"***"&amp;IF(TRIM(MID(VLOOKUP($A575,COMPRADORES!$A:$D,2,FALSE)&amp;" ",FIND(" ",VLOOKUP($A575,COMPRADORES!$A:$D,2,FALSE)&amp;" ")+1,99))="",""," "&amp;LEFT(TRIM(MID(VLOOKUP($A575,COMPRADORES!$A:$D,2,FALSE)&amp;" ",FIND(" ",VLOOKUP($A575,COMPRADORES!$A:$D,2,FALSE)&amp;" ")+1,99)),1)&amp;".")),""))</f>
        <v/>
      </c>
      <c r="F575" s="16">
        <f>IF($B575="PAGADO",MID("ABCDEFGHIJ",INT(VALUE($A575)/100)+1,1)&amp;"-"&amp;$A575,"")</f>
        <v/>
      </c>
      <c r="G575" s="16">
        <f>IF($B575="PAGADO","PAGADO",IF($B575="APARTADO",IF(NOT(ISNUMBER($C575)),"APARTADO",IF($C575&lt;1,"APARTADO",IF(NOW()-$C575&gt;1,"LIBRE","APARTADO"))),"LIBRE"))</f>
        <v/>
      </c>
      <c r="H575" s="15">
        <f>IF($G575&lt;&gt;"APARTADO","",IF(NOT(ISNUMBER($C575)),"FALTA LA HORA",IF($C575&lt;1,"FALTA LA FECHA",TEXT($C575+1,"dd/mm hh:mm"))))</f>
        <v/>
      </c>
    </row>
    <row r="576">
      <c r="A576" s="13" t="inlineStr">
        <is>
          <t>574</t>
        </is>
      </c>
      <c r="B576" t="inlineStr">
        <is>
          <t>LIBRE</t>
        </is>
      </c>
      <c r="C576" s="14" t="n"/>
      <c r="E576" s="15">
        <f>IF($G576&lt;&gt;"PAGADO","",IFERROR(IF(VLOOKUP($A576,COMPRADORES!$A:$D,4,FALSE)="NO","Reservado",LEFT(VLOOKUP($A576,COMPRADORES!$A:$D,2,FALSE),3)&amp;"***"&amp;IF(TRIM(MID(VLOOKUP($A576,COMPRADORES!$A:$D,2,FALSE)&amp;" ",FIND(" ",VLOOKUP($A576,COMPRADORES!$A:$D,2,FALSE)&amp;" ")+1,99))="",""," "&amp;LEFT(TRIM(MID(VLOOKUP($A576,COMPRADORES!$A:$D,2,FALSE)&amp;" ",FIND(" ",VLOOKUP($A576,COMPRADORES!$A:$D,2,FALSE)&amp;" ")+1,99)),1)&amp;".")),""))</f>
        <v/>
      </c>
      <c r="F576" s="16">
        <f>IF($B576="PAGADO",MID("ABCDEFGHIJ",INT(VALUE($A576)/100)+1,1)&amp;"-"&amp;$A576,"")</f>
        <v/>
      </c>
      <c r="G576" s="16">
        <f>IF($B576="PAGADO","PAGADO",IF($B576="APARTADO",IF(NOT(ISNUMBER($C576)),"APARTADO",IF($C576&lt;1,"APARTADO",IF(NOW()-$C576&gt;1,"LIBRE","APARTADO"))),"LIBRE"))</f>
        <v/>
      </c>
      <c r="H576" s="15">
        <f>IF($G576&lt;&gt;"APARTADO","",IF(NOT(ISNUMBER($C576)),"FALTA LA HORA",IF($C576&lt;1,"FALTA LA FECHA",TEXT($C576+1,"dd/mm hh:mm"))))</f>
        <v/>
      </c>
    </row>
    <row r="577">
      <c r="A577" s="13" t="inlineStr">
        <is>
          <t>575</t>
        </is>
      </c>
      <c r="B577" t="inlineStr">
        <is>
          <t>LIBRE</t>
        </is>
      </c>
      <c r="C577" s="14" t="n"/>
      <c r="E577" s="15">
        <f>IF($G577&lt;&gt;"PAGADO","",IFERROR(IF(VLOOKUP($A577,COMPRADORES!$A:$D,4,FALSE)="NO","Reservado",LEFT(VLOOKUP($A577,COMPRADORES!$A:$D,2,FALSE),3)&amp;"***"&amp;IF(TRIM(MID(VLOOKUP($A577,COMPRADORES!$A:$D,2,FALSE)&amp;" ",FIND(" ",VLOOKUP($A577,COMPRADORES!$A:$D,2,FALSE)&amp;" ")+1,99))="",""," "&amp;LEFT(TRIM(MID(VLOOKUP($A577,COMPRADORES!$A:$D,2,FALSE)&amp;" ",FIND(" ",VLOOKUP($A577,COMPRADORES!$A:$D,2,FALSE)&amp;" ")+1,99)),1)&amp;".")),""))</f>
        <v/>
      </c>
      <c r="F577" s="16">
        <f>IF($B577="PAGADO",MID("ABCDEFGHIJ",INT(VALUE($A577)/100)+1,1)&amp;"-"&amp;$A577,"")</f>
        <v/>
      </c>
      <c r="G577" s="16">
        <f>IF($B577="PAGADO","PAGADO",IF($B577="APARTADO",IF(NOT(ISNUMBER($C577)),"APARTADO",IF($C577&lt;1,"APARTADO",IF(NOW()-$C577&gt;1,"LIBRE","APARTADO"))),"LIBRE"))</f>
        <v/>
      </c>
      <c r="H577" s="15">
        <f>IF($G577&lt;&gt;"APARTADO","",IF(NOT(ISNUMBER($C577)),"FALTA LA HORA",IF($C577&lt;1,"FALTA LA FECHA",TEXT($C577+1,"dd/mm hh:mm"))))</f>
        <v/>
      </c>
    </row>
    <row r="578">
      <c r="A578" s="13" t="inlineStr">
        <is>
          <t>576</t>
        </is>
      </c>
      <c r="B578" t="inlineStr">
        <is>
          <t>LIBRE</t>
        </is>
      </c>
      <c r="C578" s="14" t="n"/>
      <c r="E578" s="15">
        <f>IF($G578&lt;&gt;"PAGADO","",IFERROR(IF(VLOOKUP($A578,COMPRADORES!$A:$D,4,FALSE)="NO","Reservado",LEFT(VLOOKUP($A578,COMPRADORES!$A:$D,2,FALSE),3)&amp;"***"&amp;IF(TRIM(MID(VLOOKUP($A578,COMPRADORES!$A:$D,2,FALSE)&amp;" ",FIND(" ",VLOOKUP($A578,COMPRADORES!$A:$D,2,FALSE)&amp;" ")+1,99))="",""," "&amp;LEFT(TRIM(MID(VLOOKUP($A578,COMPRADORES!$A:$D,2,FALSE)&amp;" ",FIND(" ",VLOOKUP($A578,COMPRADORES!$A:$D,2,FALSE)&amp;" ")+1,99)),1)&amp;".")),""))</f>
        <v/>
      </c>
      <c r="F578" s="16">
        <f>IF($B578="PAGADO",MID("ABCDEFGHIJ",INT(VALUE($A578)/100)+1,1)&amp;"-"&amp;$A578,"")</f>
        <v/>
      </c>
      <c r="G578" s="16">
        <f>IF($B578="PAGADO","PAGADO",IF($B578="APARTADO",IF(NOT(ISNUMBER($C578)),"APARTADO",IF($C578&lt;1,"APARTADO",IF(NOW()-$C578&gt;1,"LIBRE","APARTADO"))),"LIBRE"))</f>
        <v/>
      </c>
      <c r="H578" s="15">
        <f>IF($G578&lt;&gt;"APARTADO","",IF(NOT(ISNUMBER($C578)),"FALTA LA HORA",IF($C578&lt;1,"FALTA LA FECHA",TEXT($C578+1,"dd/mm hh:mm"))))</f>
        <v/>
      </c>
    </row>
    <row r="579">
      <c r="A579" s="13" t="inlineStr">
        <is>
          <t>577</t>
        </is>
      </c>
      <c r="B579" t="inlineStr">
        <is>
          <t>LIBRE</t>
        </is>
      </c>
      <c r="C579" s="14" t="n"/>
      <c r="E579" s="15">
        <f>IF($G579&lt;&gt;"PAGADO","",IFERROR(IF(VLOOKUP($A579,COMPRADORES!$A:$D,4,FALSE)="NO","Reservado",LEFT(VLOOKUP($A579,COMPRADORES!$A:$D,2,FALSE),3)&amp;"***"&amp;IF(TRIM(MID(VLOOKUP($A579,COMPRADORES!$A:$D,2,FALSE)&amp;" ",FIND(" ",VLOOKUP($A579,COMPRADORES!$A:$D,2,FALSE)&amp;" ")+1,99))="",""," "&amp;LEFT(TRIM(MID(VLOOKUP($A579,COMPRADORES!$A:$D,2,FALSE)&amp;" ",FIND(" ",VLOOKUP($A579,COMPRADORES!$A:$D,2,FALSE)&amp;" ")+1,99)),1)&amp;".")),""))</f>
        <v/>
      </c>
      <c r="F579" s="16">
        <f>IF($B579="PAGADO",MID("ABCDEFGHIJ",INT(VALUE($A579)/100)+1,1)&amp;"-"&amp;$A579,"")</f>
        <v/>
      </c>
      <c r="G579" s="16">
        <f>IF($B579="PAGADO","PAGADO",IF($B579="APARTADO",IF(NOT(ISNUMBER($C579)),"APARTADO",IF($C579&lt;1,"APARTADO",IF(NOW()-$C579&gt;1,"LIBRE","APARTADO"))),"LIBRE"))</f>
        <v/>
      </c>
      <c r="H579" s="15">
        <f>IF($G579&lt;&gt;"APARTADO","",IF(NOT(ISNUMBER($C579)),"FALTA LA HORA",IF($C579&lt;1,"FALTA LA FECHA",TEXT($C579+1,"dd/mm hh:mm"))))</f>
        <v/>
      </c>
    </row>
    <row r="580">
      <c r="A580" s="13" t="inlineStr">
        <is>
          <t>578</t>
        </is>
      </c>
      <c r="B580" t="inlineStr">
        <is>
          <t>LIBRE</t>
        </is>
      </c>
      <c r="C580" s="14" t="n"/>
      <c r="E580" s="15">
        <f>IF($G580&lt;&gt;"PAGADO","",IFERROR(IF(VLOOKUP($A580,COMPRADORES!$A:$D,4,FALSE)="NO","Reservado",LEFT(VLOOKUP($A580,COMPRADORES!$A:$D,2,FALSE),3)&amp;"***"&amp;IF(TRIM(MID(VLOOKUP($A580,COMPRADORES!$A:$D,2,FALSE)&amp;" ",FIND(" ",VLOOKUP($A580,COMPRADORES!$A:$D,2,FALSE)&amp;" ")+1,99))="",""," "&amp;LEFT(TRIM(MID(VLOOKUP($A580,COMPRADORES!$A:$D,2,FALSE)&amp;" ",FIND(" ",VLOOKUP($A580,COMPRADORES!$A:$D,2,FALSE)&amp;" ")+1,99)),1)&amp;".")),""))</f>
        <v/>
      </c>
      <c r="F580" s="16">
        <f>IF($B580="PAGADO",MID("ABCDEFGHIJ",INT(VALUE($A580)/100)+1,1)&amp;"-"&amp;$A580,"")</f>
        <v/>
      </c>
      <c r="G580" s="16">
        <f>IF($B580="PAGADO","PAGADO",IF($B580="APARTADO",IF(NOT(ISNUMBER($C580)),"APARTADO",IF($C580&lt;1,"APARTADO",IF(NOW()-$C580&gt;1,"LIBRE","APARTADO"))),"LIBRE"))</f>
        <v/>
      </c>
      <c r="H580" s="15">
        <f>IF($G580&lt;&gt;"APARTADO","",IF(NOT(ISNUMBER($C580)),"FALTA LA HORA",IF($C580&lt;1,"FALTA LA FECHA",TEXT($C580+1,"dd/mm hh:mm"))))</f>
        <v/>
      </c>
    </row>
    <row r="581">
      <c r="A581" s="13" t="inlineStr">
        <is>
          <t>579</t>
        </is>
      </c>
      <c r="B581" t="inlineStr">
        <is>
          <t>LIBRE</t>
        </is>
      </c>
      <c r="C581" s="14" t="n"/>
      <c r="E581" s="15">
        <f>IF($G581&lt;&gt;"PAGADO","",IFERROR(IF(VLOOKUP($A581,COMPRADORES!$A:$D,4,FALSE)="NO","Reservado",LEFT(VLOOKUP($A581,COMPRADORES!$A:$D,2,FALSE),3)&amp;"***"&amp;IF(TRIM(MID(VLOOKUP($A581,COMPRADORES!$A:$D,2,FALSE)&amp;" ",FIND(" ",VLOOKUP($A581,COMPRADORES!$A:$D,2,FALSE)&amp;" ")+1,99))="",""," "&amp;LEFT(TRIM(MID(VLOOKUP($A581,COMPRADORES!$A:$D,2,FALSE)&amp;" ",FIND(" ",VLOOKUP($A581,COMPRADORES!$A:$D,2,FALSE)&amp;" ")+1,99)),1)&amp;".")),""))</f>
        <v/>
      </c>
      <c r="F581" s="16">
        <f>IF($B581="PAGADO",MID("ABCDEFGHIJ",INT(VALUE($A581)/100)+1,1)&amp;"-"&amp;$A581,"")</f>
        <v/>
      </c>
      <c r="G581" s="16">
        <f>IF($B581="PAGADO","PAGADO",IF($B581="APARTADO",IF(NOT(ISNUMBER($C581)),"APARTADO",IF($C581&lt;1,"APARTADO",IF(NOW()-$C581&gt;1,"LIBRE","APARTADO"))),"LIBRE"))</f>
        <v/>
      </c>
      <c r="H581" s="15">
        <f>IF($G581&lt;&gt;"APARTADO","",IF(NOT(ISNUMBER($C581)),"FALTA LA HORA",IF($C581&lt;1,"FALTA LA FECHA",TEXT($C581+1,"dd/mm hh:mm"))))</f>
        <v/>
      </c>
    </row>
    <row r="582">
      <c r="A582" s="13" t="inlineStr">
        <is>
          <t>580</t>
        </is>
      </c>
      <c r="B582" t="inlineStr">
        <is>
          <t>LIBRE</t>
        </is>
      </c>
      <c r="C582" s="14" t="n"/>
      <c r="E582" s="15">
        <f>IF($G582&lt;&gt;"PAGADO","",IFERROR(IF(VLOOKUP($A582,COMPRADORES!$A:$D,4,FALSE)="NO","Reservado",LEFT(VLOOKUP($A582,COMPRADORES!$A:$D,2,FALSE),3)&amp;"***"&amp;IF(TRIM(MID(VLOOKUP($A582,COMPRADORES!$A:$D,2,FALSE)&amp;" ",FIND(" ",VLOOKUP($A582,COMPRADORES!$A:$D,2,FALSE)&amp;" ")+1,99))="",""," "&amp;LEFT(TRIM(MID(VLOOKUP($A582,COMPRADORES!$A:$D,2,FALSE)&amp;" ",FIND(" ",VLOOKUP($A582,COMPRADORES!$A:$D,2,FALSE)&amp;" ")+1,99)),1)&amp;".")),""))</f>
        <v/>
      </c>
      <c r="F582" s="16">
        <f>IF($B582="PAGADO",MID("ABCDEFGHIJ",INT(VALUE($A582)/100)+1,1)&amp;"-"&amp;$A582,"")</f>
        <v/>
      </c>
      <c r="G582" s="16">
        <f>IF($B582="PAGADO","PAGADO",IF($B582="APARTADO",IF(NOT(ISNUMBER($C582)),"APARTADO",IF($C582&lt;1,"APARTADO",IF(NOW()-$C582&gt;1,"LIBRE","APARTADO"))),"LIBRE"))</f>
        <v/>
      </c>
      <c r="H582" s="15">
        <f>IF($G582&lt;&gt;"APARTADO","",IF(NOT(ISNUMBER($C582)),"FALTA LA HORA",IF($C582&lt;1,"FALTA LA FECHA",TEXT($C582+1,"dd/mm hh:mm"))))</f>
        <v/>
      </c>
    </row>
    <row r="583">
      <c r="A583" s="13" t="inlineStr">
        <is>
          <t>581</t>
        </is>
      </c>
      <c r="B583" t="inlineStr">
        <is>
          <t>LIBRE</t>
        </is>
      </c>
      <c r="C583" s="14" t="n"/>
      <c r="E583" s="15">
        <f>IF($G583&lt;&gt;"PAGADO","",IFERROR(IF(VLOOKUP($A583,COMPRADORES!$A:$D,4,FALSE)="NO","Reservado",LEFT(VLOOKUP($A583,COMPRADORES!$A:$D,2,FALSE),3)&amp;"***"&amp;IF(TRIM(MID(VLOOKUP($A583,COMPRADORES!$A:$D,2,FALSE)&amp;" ",FIND(" ",VLOOKUP($A583,COMPRADORES!$A:$D,2,FALSE)&amp;" ")+1,99))="",""," "&amp;LEFT(TRIM(MID(VLOOKUP($A583,COMPRADORES!$A:$D,2,FALSE)&amp;" ",FIND(" ",VLOOKUP($A583,COMPRADORES!$A:$D,2,FALSE)&amp;" ")+1,99)),1)&amp;".")),""))</f>
        <v/>
      </c>
      <c r="F583" s="16">
        <f>IF($B583="PAGADO",MID("ABCDEFGHIJ",INT(VALUE($A583)/100)+1,1)&amp;"-"&amp;$A583,"")</f>
        <v/>
      </c>
      <c r="G583" s="16">
        <f>IF($B583="PAGADO","PAGADO",IF($B583="APARTADO",IF(NOT(ISNUMBER($C583)),"APARTADO",IF($C583&lt;1,"APARTADO",IF(NOW()-$C583&gt;1,"LIBRE","APARTADO"))),"LIBRE"))</f>
        <v/>
      </c>
      <c r="H583" s="15">
        <f>IF($G583&lt;&gt;"APARTADO","",IF(NOT(ISNUMBER($C583)),"FALTA LA HORA",IF($C583&lt;1,"FALTA LA FECHA",TEXT($C583+1,"dd/mm hh:mm"))))</f>
        <v/>
      </c>
    </row>
    <row r="584">
      <c r="A584" s="13" t="inlineStr">
        <is>
          <t>582</t>
        </is>
      </c>
      <c r="B584" t="inlineStr">
        <is>
          <t>LIBRE</t>
        </is>
      </c>
      <c r="C584" s="14" t="n"/>
      <c r="E584" s="15">
        <f>IF($G584&lt;&gt;"PAGADO","",IFERROR(IF(VLOOKUP($A584,COMPRADORES!$A:$D,4,FALSE)="NO","Reservado",LEFT(VLOOKUP($A584,COMPRADORES!$A:$D,2,FALSE),3)&amp;"***"&amp;IF(TRIM(MID(VLOOKUP($A584,COMPRADORES!$A:$D,2,FALSE)&amp;" ",FIND(" ",VLOOKUP($A584,COMPRADORES!$A:$D,2,FALSE)&amp;" ")+1,99))="",""," "&amp;LEFT(TRIM(MID(VLOOKUP($A584,COMPRADORES!$A:$D,2,FALSE)&amp;" ",FIND(" ",VLOOKUP($A584,COMPRADORES!$A:$D,2,FALSE)&amp;" ")+1,99)),1)&amp;".")),""))</f>
        <v/>
      </c>
      <c r="F584" s="16">
        <f>IF($B584="PAGADO",MID("ABCDEFGHIJ",INT(VALUE($A584)/100)+1,1)&amp;"-"&amp;$A584,"")</f>
        <v/>
      </c>
      <c r="G584" s="16">
        <f>IF($B584="PAGADO","PAGADO",IF($B584="APARTADO",IF(NOT(ISNUMBER($C584)),"APARTADO",IF($C584&lt;1,"APARTADO",IF(NOW()-$C584&gt;1,"LIBRE","APARTADO"))),"LIBRE"))</f>
        <v/>
      </c>
      <c r="H584" s="15">
        <f>IF($G584&lt;&gt;"APARTADO","",IF(NOT(ISNUMBER($C584)),"FALTA LA HORA",IF($C584&lt;1,"FALTA LA FECHA",TEXT($C584+1,"dd/mm hh:mm"))))</f>
        <v/>
      </c>
    </row>
    <row r="585">
      <c r="A585" s="13" t="inlineStr">
        <is>
          <t>583</t>
        </is>
      </c>
      <c r="B585" t="inlineStr">
        <is>
          <t>LIBRE</t>
        </is>
      </c>
      <c r="C585" s="14" t="n"/>
      <c r="E585" s="15">
        <f>IF($G585&lt;&gt;"PAGADO","",IFERROR(IF(VLOOKUP($A585,COMPRADORES!$A:$D,4,FALSE)="NO","Reservado",LEFT(VLOOKUP($A585,COMPRADORES!$A:$D,2,FALSE),3)&amp;"***"&amp;IF(TRIM(MID(VLOOKUP($A585,COMPRADORES!$A:$D,2,FALSE)&amp;" ",FIND(" ",VLOOKUP($A585,COMPRADORES!$A:$D,2,FALSE)&amp;" ")+1,99))="",""," "&amp;LEFT(TRIM(MID(VLOOKUP($A585,COMPRADORES!$A:$D,2,FALSE)&amp;" ",FIND(" ",VLOOKUP($A585,COMPRADORES!$A:$D,2,FALSE)&amp;" ")+1,99)),1)&amp;".")),""))</f>
        <v/>
      </c>
      <c r="F585" s="16">
        <f>IF($B585="PAGADO",MID("ABCDEFGHIJ",INT(VALUE($A585)/100)+1,1)&amp;"-"&amp;$A585,"")</f>
        <v/>
      </c>
      <c r="G585" s="16">
        <f>IF($B585="PAGADO","PAGADO",IF($B585="APARTADO",IF(NOT(ISNUMBER($C585)),"APARTADO",IF($C585&lt;1,"APARTADO",IF(NOW()-$C585&gt;1,"LIBRE","APARTADO"))),"LIBRE"))</f>
        <v/>
      </c>
      <c r="H585" s="15">
        <f>IF($G585&lt;&gt;"APARTADO","",IF(NOT(ISNUMBER($C585)),"FALTA LA HORA",IF($C585&lt;1,"FALTA LA FECHA",TEXT($C585+1,"dd/mm hh:mm"))))</f>
        <v/>
      </c>
    </row>
    <row r="586">
      <c r="A586" s="13" t="inlineStr">
        <is>
          <t>584</t>
        </is>
      </c>
      <c r="B586" t="inlineStr">
        <is>
          <t>LIBRE</t>
        </is>
      </c>
      <c r="C586" s="14" t="n"/>
      <c r="E586" s="15">
        <f>IF($G586&lt;&gt;"PAGADO","",IFERROR(IF(VLOOKUP($A586,COMPRADORES!$A:$D,4,FALSE)="NO","Reservado",LEFT(VLOOKUP($A586,COMPRADORES!$A:$D,2,FALSE),3)&amp;"***"&amp;IF(TRIM(MID(VLOOKUP($A586,COMPRADORES!$A:$D,2,FALSE)&amp;" ",FIND(" ",VLOOKUP($A586,COMPRADORES!$A:$D,2,FALSE)&amp;" ")+1,99))="",""," "&amp;LEFT(TRIM(MID(VLOOKUP($A586,COMPRADORES!$A:$D,2,FALSE)&amp;" ",FIND(" ",VLOOKUP($A586,COMPRADORES!$A:$D,2,FALSE)&amp;" ")+1,99)),1)&amp;".")),""))</f>
        <v/>
      </c>
      <c r="F586" s="16">
        <f>IF($B586="PAGADO",MID("ABCDEFGHIJ",INT(VALUE($A586)/100)+1,1)&amp;"-"&amp;$A586,"")</f>
        <v/>
      </c>
      <c r="G586" s="16">
        <f>IF($B586="PAGADO","PAGADO",IF($B586="APARTADO",IF(NOT(ISNUMBER($C586)),"APARTADO",IF($C586&lt;1,"APARTADO",IF(NOW()-$C586&gt;1,"LIBRE","APARTADO"))),"LIBRE"))</f>
        <v/>
      </c>
      <c r="H586" s="15">
        <f>IF($G586&lt;&gt;"APARTADO","",IF(NOT(ISNUMBER($C586)),"FALTA LA HORA",IF($C586&lt;1,"FALTA LA FECHA",TEXT($C586+1,"dd/mm hh:mm"))))</f>
        <v/>
      </c>
    </row>
    <row r="587">
      <c r="A587" s="13" t="inlineStr">
        <is>
          <t>585</t>
        </is>
      </c>
      <c r="B587" t="inlineStr">
        <is>
          <t>LIBRE</t>
        </is>
      </c>
      <c r="C587" s="14" t="n"/>
      <c r="E587" s="15">
        <f>IF($G587&lt;&gt;"PAGADO","",IFERROR(IF(VLOOKUP($A587,COMPRADORES!$A:$D,4,FALSE)="NO","Reservado",LEFT(VLOOKUP($A587,COMPRADORES!$A:$D,2,FALSE),3)&amp;"***"&amp;IF(TRIM(MID(VLOOKUP($A587,COMPRADORES!$A:$D,2,FALSE)&amp;" ",FIND(" ",VLOOKUP($A587,COMPRADORES!$A:$D,2,FALSE)&amp;" ")+1,99))="",""," "&amp;LEFT(TRIM(MID(VLOOKUP($A587,COMPRADORES!$A:$D,2,FALSE)&amp;" ",FIND(" ",VLOOKUP($A587,COMPRADORES!$A:$D,2,FALSE)&amp;" ")+1,99)),1)&amp;".")),""))</f>
        <v/>
      </c>
      <c r="F587" s="16">
        <f>IF($B587="PAGADO",MID("ABCDEFGHIJ",INT(VALUE($A587)/100)+1,1)&amp;"-"&amp;$A587,"")</f>
        <v/>
      </c>
      <c r="G587" s="16">
        <f>IF($B587="PAGADO","PAGADO",IF($B587="APARTADO",IF(NOT(ISNUMBER($C587)),"APARTADO",IF($C587&lt;1,"APARTADO",IF(NOW()-$C587&gt;1,"LIBRE","APARTADO"))),"LIBRE"))</f>
        <v/>
      </c>
      <c r="H587" s="15">
        <f>IF($G587&lt;&gt;"APARTADO","",IF(NOT(ISNUMBER($C587)),"FALTA LA HORA",IF($C587&lt;1,"FALTA LA FECHA",TEXT($C587+1,"dd/mm hh:mm"))))</f>
        <v/>
      </c>
    </row>
    <row r="588">
      <c r="A588" s="13" t="inlineStr">
        <is>
          <t>586</t>
        </is>
      </c>
      <c r="B588" t="inlineStr">
        <is>
          <t>LIBRE</t>
        </is>
      </c>
      <c r="C588" s="14" t="n"/>
      <c r="E588" s="15">
        <f>IF($G588&lt;&gt;"PAGADO","",IFERROR(IF(VLOOKUP($A588,COMPRADORES!$A:$D,4,FALSE)="NO","Reservado",LEFT(VLOOKUP($A588,COMPRADORES!$A:$D,2,FALSE),3)&amp;"***"&amp;IF(TRIM(MID(VLOOKUP($A588,COMPRADORES!$A:$D,2,FALSE)&amp;" ",FIND(" ",VLOOKUP($A588,COMPRADORES!$A:$D,2,FALSE)&amp;" ")+1,99))="",""," "&amp;LEFT(TRIM(MID(VLOOKUP($A588,COMPRADORES!$A:$D,2,FALSE)&amp;" ",FIND(" ",VLOOKUP($A588,COMPRADORES!$A:$D,2,FALSE)&amp;" ")+1,99)),1)&amp;".")),""))</f>
        <v/>
      </c>
      <c r="F588" s="16">
        <f>IF($B588="PAGADO",MID("ABCDEFGHIJ",INT(VALUE($A588)/100)+1,1)&amp;"-"&amp;$A588,"")</f>
        <v/>
      </c>
      <c r="G588" s="16">
        <f>IF($B588="PAGADO","PAGADO",IF($B588="APARTADO",IF(NOT(ISNUMBER($C588)),"APARTADO",IF($C588&lt;1,"APARTADO",IF(NOW()-$C588&gt;1,"LIBRE","APARTADO"))),"LIBRE"))</f>
        <v/>
      </c>
      <c r="H588" s="15">
        <f>IF($G588&lt;&gt;"APARTADO","",IF(NOT(ISNUMBER($C588)),"FALTA LA HORA",IF($C588&lt;1,"FALTA LA FECHA",TEXT($C588+1,"dd/mm hh:mm"))))</f>
        <v/>
      </c>
    </row>
    <row r="589">
      <c r="A589" s="13" t="inlineStr">
        <is>
          <t>587</t>
        </is>
      </c>
      <c r="B589" t="inlineStr">
        <is>
          <t>LIBRE</t>
        </is>
      </c>
      <c r="C589" s="14" t="n"/>
      <c r="E589" s="15">
        <f>IF($G589&lt;&gt;"PAGADO","",IFERROR(IF(VLOOKUP($A589,COMPRADORES!$A:$D,4,FALSE)="NO","Reservado",LEFT(VLOOKUP($A589,COMPRADORES!$A:$D,2,FALSE),3)&amp;"***"&amp;IF(TRIM(MID(VLOOKUP($A589,COMPRADORES!$A:$D,2,FALSE)&amp;" ",FIND(" ",VLOOKUP($A589,COMPRADORES!$A:$D,2,FALSE)&amp;" ")+1,99))="",""," "&amp;LEFT(TRIM(MID(VLOOKUP($A589,COMPRADORES!$A:$D,2,FALSE)&amp;" ",FIND(" ",VLOOKUP($A589,COMPRADORES!$A:$D,2,FALSE)&amp;" ")+1,99)),1)&amp;".")),""))</f>
        <v/>
      </c>
      <c r="F589" s="16">
        <f>IF($B589="PAGADO",MID("ABCDEFGHIJ",INT(VALUE($A589)/100)+1,1)&amp;"-"&amp;$A589,"")</f>
        <v/>
      </c>
      <c r="G589" s="16">
        <f>IF($B589="PAGADO","PAGADO",IF($B589="APARTADO",IF(NOT(ISNUMBER($C589)),"APARTADO",IF($C589&lt;1,"APARTADO",IF(NOW()-$C589&gt;1,"LIBRE","APARTADO"))),"LIBRE"))</f>
        <v/>
      </c>
      <c r="H589" s="15">
        <f>IF($G589&lt;&gt;"APARTADO","",IF(NOT(ISNUMBER($C589)),"FALTA LA HORA",IF($C589&lt;1,"FALTA LA FECHA",TEXT($C589+1,"dd/mm hh:mm"))))</f>
        <v/>
      </c>
    </row>
    <row r="590">
      <c r="A590" s="13" t="inlineStr">
        <is>
          <t>588</t>
        </is>
      </c>
      <c r="B590" t="inlineStr">
        <is>
          <t>LIBRE</t>
        </is>
      </c>
      <c r="C590" s="14" t="n"/>
      <c r="E590" s="15">
        <f>IF($G590&lt;&gt;"PAGADO","",IFERROR(IF(VLOOKUP($A590,COMPRADORES!$A:$D,4,FALSE)="NO","Reservado",LEFT(VLOOKUP($A590,COMPRADORES!$A:$D,2,FALSE),3)&amp;"***"&amp;IF(TRIM(MID(VLOOKUP($A590,COMPRADORES!$A:$D,2,FALSE)&amp;" ",FIND(" ",VLOOKUP($A590,COMPRADORES!$A:$D,2,FALSE)&amp;" ")+1,99))="",""," "&amp;LEFT(TRIM(MID(VLOOKUP($A590,COMPRADORES!$A:$D,2,FALSE)&amp;" ",FIND(" ",VLOOKUP($A590,COMPRADORES!$A:$D,2,FALSE)&amp;" ")+1,99)),1)&amp;".")),""))</f>
        <v/>
      </c>
      <c r="F590" s="16">
        <f>IF($B590="PAGADO",MID("ABCDEFGHIJ",INT(VALUE($A590)/100)+1,1)&amp;"-"&amp;$A590,"")</f>
        <v/>
      </c>
      <c r="G590" s="16">
        <f>IF($B590="PAGADO","PAGADO",IF($B590="APARTADO",IF(NOT(ISNUMBER($C590)),"APARTADO",IF($C590&lt;1,"APARTADO",IF(NOW()-$C590&gt;1,"LIBRE","APARTADO"))),"LIBRE"))</f>
        <v/>
      </c>
      <c r="H590" s="15">
        <f>IF($G590&lt;&gt;"APARTADO","",IF(NOT(ISNUMBER($C590)),"FALTA LA HORA",IF($C590&lt;1,"FALTA LA FECHA",TEXT($C590+1,"dd/mm hh:mm"))))</f>
        <v/>
      </c>
    </row>
    <row r="591">
      <c r="A591" s="13" t="inlineStr">
        <is>
          <t>589</t>
        </is>
      </c>
      <c r="B591" t="inlineStr">
        <is>
          <t>LIBRE</t>
        </is>
      </c>
      <c r="C591" s="14" t="n"/>
      <c r="E591" s="15">
        <f>IF($G591&lt;&gt;"PAGADO","",IFERROR(IF(VLOOKUP($A591,COMPRADORES!$A:$D,4,FALSE)="NO","Reservado",LEFT(VLOOKUP($A591,COMPRADORES!$A:$D,2,FALSE),3)&amp;"***"&amp;IF(TRIM(MID(VLOOKUP($A591,COMPRADORES!$A:$D,2,FALSE)&amp;" ",FIND(" ",VLOOKUP($A591,COMPRADORES!$A:$D,2,FALSE)&amp;" ")+1,99))="",""," "&amp;LEFT(TRIM(MID(VLOOKUP($A591,COMPRADORES!$A:$D,2,FALSE)&amp;" ",FIND(" ",VLOOKUP($A591,COMPRADORES!$A:$D,2,FALSE)&amp;" ")+1,99)),1)&amp;".")),""))</f>
        <v/>
      </c>
      <c r="F591" s="16">
        <f>IF($B591="PAGADO",MID("ABCDEFGHIJ",INT(VALUE($A591)/100)+1,1)&amp;"-"&amp;$A591,"")</f>
        <v/>
      </c>
      <c r="G591" s="16">
        <f>IF($B591="PAGADO","PAGADO",IF($B591="APARTADO",IF(NOT(ISNUMBER($C591)),"APARTADO",IF($C591&lt;1,"APARTADO",IF(NOW()-$C591&gt;1,"LIBRE","APARTADO"))),"LIBRE"))</f>
        <v/>
      </c>
      <c r="H591" s="15">
        <f>IF($G591&lt;&gt;"APARTADO","",IF(NOT(ISNUMBER($C591)),"FALTA LA HORA",IF($C591&lt;1,"FALTA LA FECHA",TEXT($C591+1,"dd/mm hh:mm"))))</f>
        <v/>
      </c>
    </row>
    <row r="592">
      <c r="A592" s="13" t="inlineStr">
        <is>
          <t>590</t>
        </is>
      </c>
      <c r="B592" t="inlineStr">
        <is>
          <t>LIBRE</t>
        </is>
      </c>
      <c r="C592" s="14" t="n"/>
      <c r="E592" s="15">
        <f>IF($G592&lt;&gt;"PAGADO","",IFERROR(IF(VLOOKUP($A592,COMPRADORES!$A:$D,4,FALSE)="NO","Reservado",LEFT(VLOOKUP($A592,COMPRADORES!$A:$D,2,FALSE),3)&amp;"***"&amp;IF(TRIM(MID(VLOOKUP($A592,COMPRADORES!$A:$D,2,FALSE)&amp;" ",FIND(" ",VLOOKUP($A592,COMPRADORES!$A:$D,2,FALSE)&amp;" ")+1,99))="",""," "&amp;LEFT(TRIM(MID(VLOOKUP($A592,COMPRADORES!$A:$D,2,FALSE)&amp;" ",FIND(" ",VLOOKUP($A592,COMPRADORES!$A:$D,2,FALSE)&amp;" ")+1,99)),1)&amp;".")),""))</f>
        <v/>
      </c>
      <c r="F592" s="16">
        <f>IF($B592="PAGADO",MID("ABCDEFGHIJ",INT(VALUE($A592)/100)+1,1)&amp;"-"&amp;$A592,"")</f>
        <v/>
      </c>
      <c r="G592" s="16">
        <f>IF($B592="PAGADO","PAGADO",IF($B592="APARTADO",IF(NOT(ISNUMBER($C592)),"APARTADO",IF($C592&lt;1,"APARTADO",IF(NOW()-$C592&gt;1,"LIBRE","APARTADO"))),"LIBRE"))</f>
        <v/>
      </c>
      <c r="H592" s="15">
        <f>IF($G592&lt;&gt;"APARTADO","",IF(NOT(ISNUMBER($C592)),"FALTA LA HORA",IF($C592&lt;1,"FALTA LA FECHA",TEXT($C592+1,"dd/mm hh:mm"))))</f>
        <v/>
      </c>
    </row>
    <row r="593">
      <c r="A593" s="13" t="inlineStr">
        <is>
          <t>591</t>
        </is>
      </c>
      <c r="B593" t="inlineStr">
        <is>
          <t>LIBRE</t>
        </is>
      </c>
      <c r="C593" s="14" t="n"/>
      <c r="E593" s="15">
        <f>IF($G593&lt;&gt;"PAGADO","",IFERROR(IF(VLOOKUP($A593,COMPRADORES!$A:$D,4,FALSE)="NO","Reservado",LEFT(VLOOKUP($A593,COMPRADORES!$A:$D,2,FALSE),3)&amp;"***"&amp;IF(TRIM(MID(VLOOKUP($A593,COMPRADORES!$A:$D,2,FALSE)&amp;" ",FIND(" ",VLOOKUP($A593,COMPRADORES!$A:$D,2,FALSE)&amp;" ")+1,99))="",""," "&amp;LEFT(TRIM(MID(VLOOKUP($A593,COMPRADORES!$A:$D,2,FALSE)&amp;" ",FIND(" ",VLOOKUP($A593,COMPRADORES!$A:$D,2,FALSE)&amp;" ")+1,99)),1)&amp;".")),""))</f>
        <v/>
      </c>
      <c r="F593" s="16">
        <f>IF($B593="PAGADO",MID("ABCDEFGHIJ",INT(VALUE($A593)/100)+1,1)&amp;"-"&amp;$A593,"")</f>
        <v/>
      </c>
      <c r="G593" s="16">
        <f>IF($B593="PAGADO","PAGADO",IF($B593="APARTADO",IF(NOT(ISNUMBER($C593)),"APARTADO",IF($C593&lt;1,"APARTADO",IF(NOW()-$C593&gt;1,"LIBRE","APARTADO"))),"LIBRE"))</f>
        <v/>
      </c>
      <c r="H593" s="15">
        <f>IF($G593&lt;&gt;"APARTADO","",IF(NOT(ISNUMBER($C593)),"FALTA LA HORA",IF($C593&lt;1,"FALTA LA FECHA",TEXT($C593+1,"dd/mm hh:mm"))))</f>
        <v/>
      </c>
    </row>
    <row r="594">
      <c r="A594" s="13" t="inlineStr">
        <is>
          <t>592</t>
        </is>
      </c>
      <c r="B594" t="inlineStr">
        <is>
          <t>LIBRE</t>
        </is>
      </c>
      <c r="C594" s="14" t="n"/>
      <c r="E594" s="15">
        <f>IF($G594&lt;&gt;"PAGADO","",IFERROR(IF(VLOOKUP($A594,COMPRADORES!$A:$D,4,FALSE)="NO","Reservado",LEFT(VLOOKUP($A594,COMPRADORES!$A:$D,2,FALSE),3)&amp;"***"&amp;IF(TRIM(MID(VLOOKUP($A594,COMPRADORES!$A:$D,2,FALSE)&amp;" ",FIND(" ",VLOOKUP($A594,COMPRADORES!$A:$D,2,FALSE)&amp;" ")+1,99))="",""," "&amp;LEFT(TRIM(MID(VLOOKUP($A594,COMPRADORES!$A:$D,2,FALSE)&amp;" ",FIND(" ",VLOOKUP($A594,COMPRADORES!$A:$D,2,FALSE)&amp;" ")+1,99)),1)&amp;".")),""))</f>
        <v/>
      </c>
      <c r="F594" s="16">
        <f>IF($B594="PAGADO",MID("ABCDEFGHIJ",INT(VALUE($A594)/100)+1,1)&amp;"-"&amp;$A594,"")</f>
        <v/>
      </c>
      <c r="G594" s="16">
        <f>IF($B594="PAGADO","PAGADO",IF($B594="APARTADO",IF(NOT(ISNUMBER($C594)),"APARTADO",IF($C594&lt;1,"APARTADO",IF(NOW()-$C594&gt;1,"LIBRE","APARTADO"))),"LIBRE"))</f>
        <v/>
      </c>
      <c r="H594" s="15">
        <f>IF($G594&lt;&gt;"APARTADO","",IF(NOT(ISNUMBER($C594)),"FALTA LA HORA",IF($C594&lt;1,"FALTA LA FECHA",TEXT($C594+1,"dd/mm hh:mm"))))</f>
        <v/>
      </c>
    </row>
    <row r="595">
      <c r="A595" s="13" t="inlineStr">
        <is>
          <t>593</t>
        </is>
      </c>
      <c r="B595" t="inlineStr">
        <is>
          <t>LIBRE</t>
        </is>
      </c>
      <c r="C595" s="14" t="n"/>
      <c r="E595" s="15">
        <f>IF($G595&lt;&gt;"PAGADO","",IFERROR(IF(VLOOKUP($A595,COMPRADORES!$A:$D,4,FALSE)="NO","Reservado",LEFT(VLOOKUP($A595,COMPRADORES!$A:$D,2,FALSE),3)&amp;"***"&amp;IF(TRIM(MID(VLOOKUP($A595,COMPRADORES!$A:$D,2,FALSE)&amp;" ",FIND(" ",VLOOKUP($A595,COMPRADORES!$A:$D,2,FALSE)&amp;" ")+1,99))="",""," "&amp;LEFT(TRIM(MID(VLOOKUP($A595,COMPRADORES!$A:$D,2,FALSE)&amp;" ",FIND(" ",VLOOKUP($A595,COMPRADORES!$A:$D,2,FALSE)&amp;" ")+1,99)),1)&amp;".")),""))</f>
        <v/>
      </c>
      <c r="F595" s="16">
        <f>IF($B595="PAGADO",MID("ABCDEFGHIJ",INT(VALUE($A595)/100)+1,1)&amp;"-"&amp;$A595,"")</f>
        <v/>
      </c>
      <c r="G595" s="16">
        <f>IF($B595="PAGADO","PAGADO",IF($B595="APARTADO",IF(NOT(ISNUMBER($C595)),"APARTADO",IF($C595&lt;1,"APARTADO",IF(NOW()-$C595&gt;1,"LIBRE","APARTADO"))),"LIBRE"))</f>
        <v/>
      </c>
      <c r="H595" s="15">
        <f>IF($G595&lt;&gt;"APARTADO","",IF(NOT(ISNUMBER($C595)),"FALTA LA HORA",IF($C595&lt;1,"FALTA LA FECHA",TEXT($C595+1,"dd/mm hh:mm"))))</f>
        <v/>
      </c>
    </row>
    <row r="596">
      <c r="A596" s="13" t="inlineStr">
        <is>
          <t>594</t>
        </is>
      </c>
      <c r="B596" t="inlineStr">
        <is>
          <t>LIBRE</t>
        </is>
      </c>
      <c r="C596" s="14" t="n"/>
      <c r="E596" s="15">
        <f>IF($G596&lt;&gt;"PAGADO","",IFERROR(IF(VLOOKUP($A596,COMPRADORES!$A:$D,4,FALSE)="NO","Reservado",LEFT(VLOOKUP($A596,COMPRADORES!$A:$D,2,FALSE),3)&amp;"***"&amp;IF(TRIM(MID(VLOOKUP($A596,COMPRADORES!$A:$D,2,FALSE)&amp;" ",FIND(" ",VLOOKUP($A596,COMPRADORES!$A:$D,2,FALSE)&amp;" ")+1,99))="",""," "&amp;LEFT(TRIM(MID(VLOOKUP($A596,COMPRADORES!$A:$D,2,FALSE)&amp;" ",FIND(" ",VLOOKUP($A596,COMPRADORES!$A:$D,2,FALSE)&amp;" ")+1,99)),1)&amp;".")),""))</f>
        <v/>
      </c>
      <c r="F596" s="16">
        <f>IF($B596="PAGADO",MID("ABCDEFGHIJ",INT(VALUE($A596)/100)+1,1)&amp;"-"&amp;$A596,"")</f>
        <v/>
      </c>
      <c r="G596" s="16">
        <f>IF($B596="PAGADO","PAGADO",IF($B596="APARTADO",IF(NOT(ISNUMBER($C596)),"APARTADO",IF($C596&lt;1,"APARTADO",IF(NOW()-$C596&gt;1,"LIBRE","APARTADO"))),"LIBRE"))</f>
        <v/>
      </c>
      <c r="H596" s="15">
        <f>IF($G596&lt;&gt;"APARTADO","",IF(NOT(ISNUMBER($C596)),"FALTA LA HORA",IF($C596&lt;1,"FALTA LA FECHA",TEXT($C596+1,"dd/mm hh:mm"))))</f>
        <v/>
      </c>
    </row>
    <row r="597">
      <c r="A597" s="13" t="inlineStr">
        <is>
          <t>595</t>
        </is>
      </c>
      <c r="B597" t="inlineStr">
        <is>
          <t>LIBRE</t>
        </is>
      </c>
      <c r="C597" s="14" t="n"/>
      <c r="E597" s="15">
        <f>IF($G597&lt;&gt;"PAGADO","",IFERROR(IF(VLOOKUP($A597,COMPRADORES!$A:$D,4,FALSE)="NO","Reservado",LEFT(VLOOKUP($A597,COMPRADORES!$A:$D,2,FALSE),3)&amp;"***"&amp;IF(TRIM(MID(VLOOKUP($A597,COMPRADORES!$A:$D,2,FALSE)&amp;" ",FIND(" ",VLOOKUP($A597,COMPRADORES!$A:$D,2,FALSE)&amp;" ")+1,99))="",""," "&amp;LEFT(TRIM(MID(VLOOKUP($A597,COMPRADORES!$A:$D,2,FALSE)&amp;" ",FIND(" ",VLOOKUP($A597,COMPRADORES!$A:$D,2,FALSE)&amp;" ")+1,99)),1)&amp;".")),""))</f>
        <v/>
      </c>
      <c r="F597" s="16">
        <f>IF($B597="PAGADO",MID("ABCDEFGHIJ",INT(VALUE($A597)/100)+1,1)&amp;"-"&amp;$A597,"")</f>
        <v/>
      </c>
      <c r="G597" s="16">
        <f>IF($B597="PAGADO","PAGADO",IF($B597="APARTADO",IF(NOT(ISNUMBER($C597)),"APARTADO",IF($C597&lt;1,"APARTADO",IF(NOW()-$C597&gt;1,"LIBRE","APARTADO"))),"LIBRE"))</f>
        <v/>
      </c>
      <c r="H597" s="15">
        <f>IF($G597&lt;&gt;"APARTADO","",IF(NOT(ISNUMBER($C597)),"FALTA LA HORA",IF($C597&lt;1,"FALTA LA FECHA",TEXT($C597+1,"dd/mm hh:mm"))))</f>
        <v/>
      </c>
    </row>
    <row r="598">
      <c r="A598" s="13" t="inlineStr">
        <is>
          <t>596</t>
        </is>
      </c>
      <c r="B598" t="inlineStr">
        <is>
          <t>LIBRE</t>
        </is>
      </c>
      <c r="C598" s="14" t="n"/>
      <c r="E598" s="15">
        <f>IF($G598&lt;&gt;"PAGADO","",IFERROR(IF(VLOOKUP($A598,COMPRADORES!$A:$D,4,FALSE)="NO","Reservado",LEFT(VLOOKUP($A598,COMPRADORES!$A:$D,2,FALSE),3)&amp;"***"&amp;IF(TRIM(MID(VLOOKUP($A598,COMPRADORES!$A:$D,2,FALSE)&amp;" ",FIND(" ",VLOOKUP($A598,COMPRADORES!$A:$D,2,FALSE)&amp;" ")+1,99))="",""," "&amp;LEFT(TRIM(MID(VLOOKUP($A598,COMPRADORES!$A:$D,2,FALSE)&amp;" ",FIND(" ",VLOOKUP($A598,COMPRADORES!$A:$D,2,FALSE)&amp;" ")+1,99)),1)&amp;".")),""))</f>
        <v/>
      </c>
      <c r="F598" s="16">
        <f>IF($B598="PAGADO",MID("ABCDEFGHIJ",INT(VALUE($A598)/100)+1,1)&amp;"-"&amp;$A598,"")</f>
        <v/>
      </c>
      <c r="G598" s="16">
        <f>IF($B598="PAGADO","PAGADO",IF($B598="APARTADO",IF(NOT(ISNUMBER($C598)),"APARTADO",IF($C598&lt;1,"APARTADO",IF(NOW()-$C598&gt;1,"LIBRE","APARTADO"))),"LIBRE"))</f>
        <v/>
      </c>
      <c r="H598" s="15">
        <f>IF($G598&lt;&gt;"APARTADO","",IF(NOT(ISNUMBER($C598)),"FALTA LA HORA",IF($C598&lt;1,"FALTA LA FECHA",TEXT($C598+1,"dd/mm hh:mm"))))</f>
        <v/>
      </c>
    </row>
    <row r="599">
      <c r="A599" s="13" t="inlineStr">
        <is>
          <t>597</t>
        </is>
      </c>
      <c r="B599" t="inlineStr">
        <is>
          <t>LIBRE</t>
        </is>
      </c>
      <c r="C599" s="14" t="n"/>
      <c r="E599" s="15">
        <f>IF($G599&lt;&gt;"PAGADO","",IFERROR(IF(VLOOKUP($A599,COMPRADORES!$A:$D,4,FALSE)="NO","Reservado",LEFT(VLOOKUP($A599,COMPRADORES!$A:$D,2,FALSE),3)&amp;"***"&amp;IF(TRIM(MID(VLOOKUP($A599,COMPRADORES!$A:$D,2,FALSE)&amp;" ",FIND(" ",VLOOKUP($A599,COMPRADORES!$A:$D,2,FALSE)&amp;" ")+1,99))="",""," "&amp;LEFT(TRIM(MID(VLOOKUP($A599,COMPRADORES!$A:$D,2,FALSE)&amp;" ",FIND(" ",VLOOKUP($A599,COMPRADORES!$A:$D,2,FALSE)&amp;" ")+1,99)),1)&amp;".")),""))</f>
        <v/>
      </c>
      <c r="F599" s="16">
        <f>IF($B599="PAGADO",MID("ABCDEFGHIJ",INT(VALUE($A599)/100)+1,1)&amp;"-"&amp;$A599,"")</f>
        <v/>
      </c>
      <c r="G599" s="16">
        <f>IF($B599="PAGADO","PAGADO",IF($B599="APARTADO",IF(NOT(ISNUMBER($C599)),"APARTADO",IF($C599&lt;1,"APARTADO",IF(NOW()-$C599&gt;1,"LIBRE","APARTADO"))),"LIBRE"))</f>
        <v/>
      </c>
      <c r="H599" s="15">
        <f>IF($G599&lt;&gt;"APARTADO","",IF(NOT(ISNUMBER($C599)),"FALTA LA HORA",IF($C599&lt;1,"FALTA LA FECHA",TEXT($C599+1,"dd/mm hh:mm"))))</f>
        <v/>
      </c>
    </row>
    <row r="600">
      <c r="A600" s="13" t="inlineStr">
        <is>
          <t>598</t>
        </is>
      </c>
      <c r="B600" t="inlineStr">
        <is>
          <t>LIBRE</t>
        </is>
      </c>
      <c r="C600" s="14" t="n"/>
      <c r="E600" s="15">
        <f>IF($G600&lt;&gt;"PAGADO","",IFERROR(IF(VLOOKUP($A600,COMPRADORES!$A:$D,4,FALSE)="NO","Reservado",LEFT(VLOOKUP($A600,COMPRADORES!$A:$D,2,FALSE),3)&amp;"***"&amp;IF(TRIM(MID(VLOOKUP($A600,COMPRADORES!$A:$D,2,FALSE)&amp;" ",FIND(" ",VLOOKUP($A600,COMPRADORES!$A:$D,2,FALSE)&amp;" ")+1,99))="",""," "&amp;LEFT(TRIM(MID(VLOOKUP($A600,COMPRADORES!$A:$D,2,FALSE)&amp;" ",FIND(" ",VLOOKUP($A600,COMPRADORES!$A:$D,2,FALSE)&amp;" ")+1,99)),1)&amp;".")),""))</f>
        <v/>
      </c>
      <c r="F600" s="16">
        <f>IF($B600="PAGADO",MID("ABCDEFGHIJ",INT(VALUE($A600)/100)+1,1)&amp;"-"&amp;$A600,"")</f>
        <v/>
      </c>
      <c r="G600" s="16">
        <f>IF($B600="PAGADO","PAGADO",IF($B600="APARTADO",IF(NOT(ISNUMBER($C600)),"APARTADO",IF($C600&lt;1,"APARTADO",IF(NOW()-$C600&gt;1,"LIBRE","APARTADO"))),"LIBRE"))</f>
        <v/>
      </c>
      <c r="H600" s="15">
        <f>IF($G600&lt;&gt;"APARTADO","",IF(NOT(ISNUMBER($C600)),"FALTA LA HORA",IF($C600&lt;1,"FALTA LA FECHA",TEXT($C600+1,"dd/mm hh:mm"))))</f>
        <v/>
      </c>
    </row>
    <row r="601">
      <c r="A601" s="13" t="inlineStr">
        <is>
          <t>599</t>
        </is>
      </c>
      <c r="B601" t="inlineStr">
        <is>
          <t>LIBRE</t>
        </is>
      </c>
      <c r="C601" s="14" t="n"/>
      <c r="E601" s="15">
        <f>IF($G601&lt;&gt;"PAGADO","",IFERROR(IF(VLOOKUP($A601,COMPRADORES!$A:$D,4,FALSE)="NO","Reservado",LEFT(VLOOKUP($A601,COMPRADORES!$A:$D,2,FALSE),3)&amp;"***"&amp;IF(TRIM(MID(VLOOKUP($A601,COMPRADORES!$A:$D,2,FALSE)&amp;" ",FIND(" ",VLOOKUP($A601,COMPRADORES!$A:$D,2,FALSE)&amp;" ")+1,99))="",""," "&amp;LEFT(TRIM(MID(VLOOKUP($A601,COMPRADORES!$A:$D,2,FALSE)&amp;" ",FIND(" ",VLOOKUP($A601,COMPRADORES!$A:$D,2,FALSE)&amp;" ")+1,99)),1)&amp;".")),""))</f>
        <v/>
      </c>
      <c r="F601" s="16">
        <f>IF($B601="PAGADO",MID("ABCDEFGHIJ",INT(VALUE($A601)/100)+1,1)&amp;"-"&amp;$A601,"")</f>
        <v/>
      </c>
      <c r="G601" s="16">
        <f>IF($B601="PAGADO","PAGADO",IF($B601="APARTADO",IF(NOT(ISNUMBER($C601)),"APARTADO",IF($C601&lt;1,"APARTADO",IF(NOW()-$C601&gt;1,"LIBRE","APARTADO"))),"LIBRE"))</f>
        <v/>
      </c>
      <c r="H601" s="15">
        <f>IF($G601&lt;&gt;"APARTADO","",IF(NOT(ISNUMBER($C601)),"FALTA LA HORA",IF($C601&lt;1,"FALTA LA FECHA",TEXT($C601+1,"dd/mm hh:mm"))))</f>
        <v/>
      </c>
    </row>
    <row r="602">
      <c r="A602" s="13" t="inlineStr">
        <is>
          <t>600</t>
        </is>
      </c>
      <c r="B602" t="inlineStr">
        <is>
          <t>LIBRE</t>
        </is>
      </c>
      <c r="C602" s="14" t="n"/>
      <c r="E602" s="15">
        <f>IF($G602&lt;&gt;"PAGADO","",IFERROR(IF(VLOOKUP($A602,COMPRADORES!$A:$D,4,FALSE)="NO","Reservado",LEFT(VLOOKUP($A602,COMPRADORES!$A:$D,2,FALSE),3)&amp;"***"&amp;IF(TRIM(MID(VLOOKUP($A602,COMPRADORES!$A:$D,2,FALSE)&amp;" ",FIND(" ",VLOOKUP($A602,COMPRADORES!$A:$D,2,FALSE)&amp;" ")+1,99))="",""," "&amp;LEFT(TRIM(MID(VLOOKUP($A602,COMPRADORES!$A:$D,2,FALSE)&amp;" ",FIND(" ",VLOOKUP($A602,COMPRADORES!$A:$D,2,FALSE)&amp;" ")+1,99)),1)&amp;".")),""))</f>
        <v/>
      </c>
      <c r="F602" s="16">
        <f>IF($B602="PAGADO",MID("ABCDEFGHIJ",INT(VALUE($A602)/100)+1,1)&amp;"-"&amp;$A602,"")</f>
        <v/>
      </c>
      <c r="G602" s="16">
        <f>IF($B602="PAGADO","PAGADO",IF($B602="APARTADO",IF(NOT(ISNUMBER($C602)),"APARTADO",IF($C602&lt;1,"APARTADO",IF(NOW()-$C602&gt;1,"LIBRE","APARTADO"))),"LIBRE"))</f>
        <v/>
      </c>
      <c r="H602" s="15">
        <f>IF($G602&lt;&gt;"APARTADO","",IF(NOT(ISNUMBER($C602)),"FALTA LA HORA",IF($C602&lt;1,"FALTA LA FECHA",TEXT($C602+1,"dd/mm hh:mm"))))</f>
        <v/>
      </c>
    </row>
    <row r="603">
      <c r="A603" s="13" t="inlineStr">
        <is>
          <t>601</t>
        </is>
      </c>
      <c r="B603" t="inlineStr">
        <is>
          <t>LIBRE</t>
        </is>
      </c>
      <c r="C603" s="14" t="n"/>
      <c r="E603" s="15">
        <f>IF($G603&lt;&gt;"PAGADO","",IFERROR(IF(VLOOKUP($A603,COMPRADORES!$A:$D,4,FALSE)="NO","Reservado",LEFT(VLOOKUP($A603,COMPRADORES!$A:$D,2,FALSE),3)&amp;"***"&amp;IF(TRIM(MID(VLOOKUP($A603,COMPRADORES!$A:$D,2,FALSE)&amp;" ",FIND(" ",VLOOKUP($A603,COMPRADORES!$A:$D,2,FALSE)&amp;" ")+1,99))="",""," "&amp;LEFT(TRIM(MID(VLOOKUP($A603,COMPRADORES!$A:$D,2,FALSE)&amp;" ",FIND(" ",VLOOKUP($A603,COMPRADORES!$A:$D,2,FALSE)&amp;" ")+1,99)),1)&amp;".")),""))</f>
        <v/>
      </c>
      <c r="F603" s="16">
        <f>IF($B603="PAGADO",MID("ABCDEFGHIJ",INT(VALUE($A603)/100)+1,1)&amp;"-"&amp;$A603,"")</f>
        <v/>
      </c>
      <c r="G603" s="16">
        <f>IF($B603="PAGADO","PAGADO",IF($B603="APARTADO",IF(NOT(ISNUMBER($C603)),"APARTADO",IF($C603&lt;1,"APARTADO",IF(NOW()-$C603&gt;1,"LIBRE","APARTADO"))),"LIBRE"))</f>
        <v/>
      </c>
      <c r="H603" s="15">
        <f>IF($G603&lt;&gt;"APARTADO","",IF(NOT(ISNUMBER($C603)),"FALTA LA HORA",IF($C603&lt;1,"FALTA LA FECHA",TEXT($C603+1,"dd/mm hh:mm"))))</f>
        <v/>
      </c>
    </row>
    <row r="604">
      <c r="A604" s="13" t="inlineStr">
        <is>
          <t>602</t>
        </is>
      </c>
      <c r="B604" t="inlineStr">
        <is>
          <t>LIBRE</t>
        </is>
      </c>
      <c r="C604" s="14" t="n"/>
      <c r="E604" s="15">
        <f>IF($G604&lt;&gt;"PAGADO","",IFERROR(IF(VLOOKUP($A604,COMPRADORES!$A:$D,4,FALSE)="NO","Reservado",LEFT(VLOOKUP($A604,COMPRADORES!$A:$D,2,FALSE),3)&amp;"***"&amp;IF(TRIM(MID(VLOOKUP($A604,COMPRADORES!$A:$D,2,FALSE)&amp;" ",FIND(" ",VLOOKUP($A604,COMPRADORES!$A:$D,2,FALSE)&amp;" ")+1,99))="",""," "&amp;LEFT(TRIM(MID(VLOOKUP($A604,COMPRADORES!$A:$D,2,FALSE)&amp;" ",FIND(" ",VLOOKUP($A604,COMPRADORES!$A:$D,2,FALSE)&amp;" ")+1,99)),1)&amp;".")),""))</f>
        <v/>
      </c>
      <c r="F604" s="16">
        <f>IF($B604="PAGADO",MID("ABCDEFGHIJ",INT(VALUE($A604)/100)+1,1)&amp;"-"&amp;$A604,"")</f>
        <v/>
      </c>
      <c r="G604" s="16">
        <f>IF($B604="PAGADO","PAGADO",IF($B604="APARTADO",IF(NOT(ISNUMBER($C604)),"APARTADO",IF($C604&lt;1,"APARTADO",IF(NOW()-$C604&gt;1,"LIBRE","APARTADO"))),"LIBRE"))</f>
        <v/>
      </c>
      <c r="H604" s="15">
        <f>IF($G604&lt;&gt;"APARTADO","",IF(NOT(ISNUMBER($C604)),"FALTA LA HORA",IF($C604&lt;1,"FALTA LA FECHA",TEXT($C604+1,"dd/mm hh:mm"))))</f>
        <v/>
      </c>
    </row>
    <row r="605">
      <c r="A605" s="13" t="inlineStr">
        <is>
          <t>603</t>
        </is>
      </c>
      <c r="B605" t="inlineStr">
        <is>
          <t>LIBRE</t>
        </is>
      </c>
      <c r="C605" s="14" t="n"/>
      <c r="E605" s="15">
        <f>IF($G605&lt;&gt;"PAGADO","",IFERROR(IF(VLOOKUP($A605,COMPRADORES!$A:$D,4,FALSE)="NO","Reservado",LEFT(VLOOKUP($A605,COMPRADORES!$A:$D,2,FALSE),3)&amp;"***"&amp;IF(TRIM(MID(VLOOKUP($A605,COMPRADORES!$A:$D,2,FALSE)&amp;" ",FIND(" ",VLOOKUP($A605,COMPRADORES!$A:$D,2,FALSE)&amp;" ")+1,99))="",""," "&amp;LEFT(TRIM(MID(VLOOKUP($A605,COMPRADORES!$A:$D,2,FALSE)&amp;" ",FIND(" ",VLOOKUP($A605,COMPRADORES!$A:$D,2,FALSE)&amp;" ")+1,99)),1)&amp;".")),""))</f>
        <v/>
      </c>
      <c r="F605" s="16">
        <f>IF($B605="PAGADO",MID("ABCDEFGHIJ",INT(VALUE($A605)/100)+1,1)&amp;"-"&amp;$A605,"")</f>
        <v/>
      </c>
      <c r="G605" s="16">
        <f>IF($B605="PAGADO","PAGADO",IF($B605="APARTADO",IF(NOT(ISNUMBER($C605)),"APARTADO",IF($C605&lt;1,"APARTADO",IF(NOW()-$C605&gt;1,"LIBRE","APARTADO"))),"LIBRE"))</f>
        <v/>
      </c>
      <c r="H605" s="15">
        <f>IF($G605&lt;&gt;"APARTADO","",IF(NOT(ISNUMBER($C605)),"FALTA LA HORA",IF($C605&lt;1,"FALTA LA FECHA",TEXT($C605+1,"dd/mm hh:mm"))))</f>
        <v/>
      </c>
    </row>
    <row r="606">
      <c r="A606" s="13" t="inlineStr">
        <is>
          <t>604</t>
        </is>
      </c>
      <c r="B606" t="inlineStr">
        <is>
          <t>LIBRE</t>
        </is>
      </c>
      <c r="C606" s="14" t="n"/>
      <c r="E606" s="15">
        <f>IF($G606&lt;&gt;"PAGADO","",IFERROR(IF(VLOOKUP($A606,COMPRADORES!$A:$D,4,FALSE)="NO","Reservado",LEFT(VLOOKUP($A606,COMPRADORES!$A:$D,2,FALSE),3)&amp;"***"&amp;IF(TRIM(MID(VLOOKUP($A606,COMPRADORES!$A:$D,2,FALSE)&amp;" ",FIND(" ",VLOOKUP($A606,COMPRADORES!$A:$D,2,FALSE)&amp;" ")+1,99))="",""," "&amp;LEFT(TRIM(MID(VLOOKUP($A606,COMPRADORES!$A:$D,2,FALSE)&amp;" ",FIND(" ",VLOOKUP($A606,COMPRADORES!$A:$D,2,FALSE)&amp;" ")+1,99)),1)&amp;".")),""))</f>
        <v/>
      </c>
      <c r="F606" s="16">
        <f>IF($B606="PAGADO",MID("ABCDEFGHIJ",INT(VALUE($A606)/100)+1,1)&amp;"-"&amp;$A606,"")</f>
        <v/>
      </c>
      <c r="G606" s="16">
        <f>IF($B606="PAGADO","PAGADO",IF($B606="APARTADO",IF(NOT(ISNUMBER($C606)),"APARTADO",IF($C606&lt;1,"APARTADO",IF(NOW()-$C606&gt;1,"LIBRE","APARTADO"))),"LIBRE"))</f>
        <v/>
      </c>
      <c r="H606" s="15">
        <f>IF($G606&lt;&gt;"APARTADO","",IF(NOT(ISNUMBER($C606)),"FALTA LA HORA",IF($C606&lt;1,"FALTA LA FECHA",TEXT($C606+1,"dd/mm hh:mm"))))</f>
        <v/>
      </c>
    </row>
    <row r="607">
      <c r="A607" s="13" t="inlineStr">
        <is>
          <t>605</t>
        </is>
      </c>
      <c r="B607" t="inlineStr">
        <is>
          <t>LIBRE</t>
        </is>
      </c>
      <c r="C607" s="14" t="n"/>
      <c r="E607" s="15">
        <f>IF($G607&lt;&gt;"PAGADO","",IFERROR(IF(VLOOKUP($A607,COMPRADORES!$A:$D,4,FALSE)="NO","Reservado",LEFT(VLOOKUP($A607,COMPRADORES!$A:$D,2,FALSE),3)&amp;"***"&amp;IF(TRIM(MID(VLOOKUP($A607,COMPRADORES!$A:$D,2,FALSE)&amp;" ",FIND(" ",VLOOKUP($A607,COMPRADORES!$A:$D,2,FALSE)&amp;" ")+1,99))="",""," "&amp;LEFT(TRIM(MID(VLOOKUP($A607,COMPRADORES!$A:$D,2,FALSE)&amp;" ",FIND(" ",VLOOKUP($A607,COMPRADORES!$A:$D,2,FALSE)&amp;" ")+1,99)),1)&amp;".")),""))</f>
        <v/>
      </c>
      <c r="F607" s="16">
        <f>IF($B607="PAGADO",MID("ABCDEFGHIJ",INT(VALUE($A607)/100)+1,1)&amp;"-"&amp;$A607,"")</f>
        <v/>
      </c>
      <c r="G607" s="16">
        <f>IF($B607="PAGADO","PAGADO",IF($B607="APARTADO",IF(NOT(ISNUMBER($C607)),"APARTADO",IF($C607&lt;1,"APARTADO",IF(NOW()-$C607&gt;1,"LIBRE","APARTADO"))),"LIBRE"))</f>
        <v/>
      </c>
      <c r="H607" s="15">
        <f>IF($G607&lt;&gt;"APARTADO","",IF(NOT(ISNUMBER($C607)),"FALTA LA HORA",IF($C607&lt;1,"FALTA LA FECHA",TEXT($C607+1,"dd/mm hh:mm"))))</f>
        <v/>
      </c>
    </row>
    <row r="608">
      <c r="A608" s="13" t="inlineStr">
        <is>
          <t>606</t>
        </is>
      </c>
      <c r="B608" t="inlineStr">
        <is>
          <t>LIBRE</t>
        </is>
      </c>
      <c r="C608" s="14" t="n"/>
      <c r="E608" s="15">
        <f>IF($G608&lt;&gt;"PAGADO","",IFERROR(IF(VLOOKUP($A608,COMPRADORES!$A:$D,4,FALSE)="NO","Reservado",LEFT(VLOOKUP($A608,COMPRADORES!$A:$D,2,FALSE),3)&amp;"***"&amp;IF(TRIM(MID(VLOOKUP($A608,COMPRADORES!$A:$D,2,FALSE)&amp;" ",FIND(" ",VLOOKUP($A608,COMPRADORES!$A:$D,2,FALSE)&amp;" ")+1,99))="",""," "&amp;LEFT(TRIM(MID(VLOOKUP($A608,COMPRADORES!$A:$D,2,FALSE)&amp;" ",FIND(" ",VLOOKUP($A608,COMPRADORES!$A:$D,2,FALSE)&amp;" ")+1,99)),1)&amp;".")),""))</f>
        <v/>
      </c>
      <c r="F608" s="16">
        <f>IF($B608="PAGADO",MID("ABCDEFGHIJ",INT(VALUE($A608)/100)+1,1)&amp;"-"&amp;$A608,"")</f>
        <v/>
      </c>
      <c r="G608" s="16">
        <f>IF($B608="PAGADO","PAGADO",IF($B608="APARTADO",IF(NOT(ISNUMBER($C608)),"APARTADO",IF($C608&lt;1,"APARTADO",IF(NOW()-$C608&gt;1,"LIBRE","APARTADO"))),"LIBRE"))</f>
        <v/>
      </c>
      <c r="H608" s="15">
        <f>IF($G608&lt;&gt;"APARTADO","",IF(NOT(ISNUMBER($C608)),"FALTA LA HORA",IF($C608&lt;1,"FALTA LA FECHA",TEXT($C608+1,"dd/mm hh:mm"))))</f>
        <v/>
      </c>
    </row>
    <row r="609">
      <c r="A609" s="13" t="inlineStr">
        <is>
          <t>607</t>
        </is>
      </c>
      <c r="B609" t="inlineStr">
        <is>
          <t>LIBRE</t>
        </is>
      </c>
      <c r="C609" s="14" t="n"/>
      <c r="E609" s="15">
        <f>IF($G609&lt;&gt;"PAGADO","",IFERROR(IF(VLOOKUP($A609,COMPRADORES!$A:$D,4,FALSE)="NO","Reservado",LEFT(VLOOKUP($A609,COMPRADORES!$A:$D,2,FALSE),3)&amp;"***"&amp;IF(TRIM(MID(VLOOKUP($A609,COMPRADORES!$A:$D,2,FALSE)&amp;" ",FIND(" ",VLOOKUP($A609,COMPRADORES!$A:$D,2,FALSE)&amp;" ")+1,99))="",""," "&amp;LEFT(TRIM(MID(VLOOKUP($A609,COMPRADORES!$A:$D,2,FALSE)&amp;" ",FIND(" ",VLOOKUP($A609,COMPRADORES!$A:$D,2,FALSE)&amp;" ")+1,99)),1)&amp;".")),""))</f>
        <v/>
      </c>
      <c r="F609" s="16">
        <f>IF($B609="PAGADO",MID("ABCDEFGHIJ",INT(VALUE($A609)/100)+1,1)&amp;"-"&amp;$A609,"")</f>
        <v/>
      </c>
      <c r="G609" s="16">
        <f>IF($B609="PAGADO","PAGADO",IF($B609="APARTADO",IF(NOT(ISNUMBER($C609)),"APARTADO",IF($C609&lt;1,"APARTADO",IF(NOW()-$C609&gt;1,"LIBRE","APARTADO"))),"LIBRE"))</f>
        <v/>
      </c>
      <c r="H609" s="15">
        <f>IF($G609&lt;&gt;"APARTADO","",IF(NOT(ISNUMBER($C609)),"FALTA LA HORA",IF($C609&lt;1,"FALTA LA FECHA",TEXT($C609+1,"dd/mm hh:mm"))))</f>
        <v/>
      </c>
    </row>
    <row r="610">
      <c r="A610" s="13" t="inlineStr">
        <is>
          <t>608</t>
        </is>
      </c>
      <c r="B610" t="inlineStr">
        <is>
          <t>LIBRE</t>
        </is>
      </c>
      <c r="C610" s="14" t="n"/>
      <c r="E610" s="15">
        <f>IF($G610&lt;&gt;"PAGADO","",IFERROR(IF(VLOOKUP($A610,COMPRADORES!$A:$D,4,FALSE)="NO","Reservado",LEFT(VLOOKUP($A610,COMPRADORES!$A:$D,2,FALSE),3)&amp;"***"&amp;IF(TRIM(MID(VLOOKUP($A610,COMPRADORES!$A:$D,2,FALSE)&amp;" ",FIND(" ",VLOOKUP($A610,COMPRADORES!$A:$D,2,FALSE)&amp;" ")+1,99))="",""," "&amp;LEFT(TRIM(MID(VLOOKUP($A610,COMPRADORES!$A:$D,2,FALSE)&amp;" ",FIND(" ",VLOOKUP($A610,COMPRADORES!$A:$D,2,FALSE)&amp;" ")+1,99)),1)&amp;".")),""))</f>
        <v/>
      </c>
      <c r="F610" s="16">
        <f>IF($B610="PAGADO",MID("ABCDEFGHIJ",INT(VALUE($A610)/100)+1,1)&amp;"-"&amp;$A610,"")</f>
        <v/>
      </c>
      <c r="G610" s="16">
        <f>IF($B610="PAGADO","PAGADO",IF($B610="APARTADO",IF(NOT(ISNUMBER($C610)),"APARTADO",IF($C610&lt;1,"APARTADO",IF(NOW()-$C610&gt;1,"LIBRE","APARTADO"))),"LIBRE"))</f>
        <v/>
      </c>
      <c r="H610" s="15">
        <f>IF($G610&lt;&gt;"APARTADO","",IF(NOT(ISNUMBER($C610)),"FALTA LA HORA",IF($C610&lt;1,"FALTA LA FECHA",TEXT($C610+1,"dd/mm hh:mm"))))</f>
        <v/>
      </c>
    </row>
    <row r="611">
      <c r="A611" s="13" t="inlineStr">
        <is>
          <t>609</t>
        </is>
      </c>
      <c r="B611" t="inlineStr">
        <is>
          <t>LIBRE</t>
        </is>
      </c>
      <c r="C611" s="14" t="n"/>
      <c r="E611" s="15">
        <f>IF($G611&lt;&gt;"PAGADO","",IFERROR(IF(VLOOKUP($A611,COMPRADORES!$A:$D,4,FALSE)="NO","Reservado",LEFT(VLOOKUP($A611,COMPRADORES!$A:$D,2,FALSE),3)&amp;"***"&amp;IF(TRIM(MID(VLOOKUP($A611,COMPRADORES!$A:$D,2,FALSE)&amp;" ",FIND(" ",VLOOKUP($A611,COMPRADORES!$A:$D,2,FALSE)&amp;" ")+1,99))="",""," "&amp;LEFT(TRIM(MID(VLOOKUP($A611,COMPRADORES!$A:$D,2,FALSE)&amp;" ",FIND(" ",VLOOKUP($A611,COMPRADORES!$A:$D,2,FALSE)&amp;" ")+1,99)),1)&amp;".")),""))</f>
        <v/>
      </c>
      <c r="F611" s="16">
        <f>IF($B611="PAGADO",MID("ABCDEFGHIJ",INT(VALUE($A611)/100)+1,1)&amp;"-"&amp;$A611,"")</f>
        <v/>
      </c>
      <c r="G611" s="16">
        <f>IF($B611="PAGADO","PAGADO",IF($B611="APARTADO",IF(NOT(ISNUMBER($C611)),"APARTADO",IF($C611&lt;1,"APARTADO",IF(NOW()-$C611&gt;1,"LIBRE","APARTADO"))),"LIBRE"))</f>
        <v/>
      </c>
      <c r="H611" s="15">
        <f>IF($G611&lt;&gt;"APARTADO","",IF(NOT(ISNUMBER($C611)),"FALTA LA HORA",IF($C611&lt;1,"FALTA LA FECHA",TEXT($C611+1,"dd/mm hh:mm"))))</f>
        <v/>
      </c>
    </row>
    <row r="612">
      <c r="A612" s="13" t="inlineStr">
        <is>
          <t>610</t>
        </is>
      </c>
      <c r="B612" t="inlineStr">
        <is>
          <t>LIBRE</t>
        </is>
      </c>
      <c r="C612" s="14" t="n"/>
      <c r="E612" s="15">
        <f>IF($G612&lt;&gt;"PAGADO","",IFERROR(IF(VLOOKUP($A612,COMPRADORES!$A:$D,4,FALSE)="NO","Reservado",LEFT(VLOOKUP($A612,COMPRADORES!$A:$D,2,FALSE),3)&amp;"***"&amp;IF(TRIM(MID(VLOOKUP($A612,COMPRADORES!$A:$D,2,FALSE)&amp;" ",FIND(" ",VLOOKUP($A612,COMPRADORES!$A:$D,2,FALSE)&amp;" ")+1,99))="",""," "&amp;LEFT(TRIM(MID(VLOOKUP($A612,COMPRADORES!$A:$D,2,FALSE)&amp;" ",FIND(" ",VLOOKUP($A612,COMPRADORES!$A:$D,2,FALSE)&amp;" ")+1,99)),1)&amp;".")),""))</f>
        <v/>
      </c>
      <c r="F612" s="16">
        <f>IF($B612="PAGADO",MID("ABCDEFGHIJ",INT(VALUE($A612)/100)+1,1)&amp;"-"&amp;$A612,"")</f>
        <v/>
      </c>
      <c r="G612" s="16">
        <f>IF($B612="PAGADO","PAGADO",IF($B612="APARTADO",IF(NOT(ISNUMBER($C612)),"APARTADO",IF($C612&lt;1,"APARTADO",IF(NOW()-$C612&gt;1,"LIBRE","APARTADO"))),"LIBRE"))</f>
        <v/>
      </c>
      <c r="H612" s="15">
        <f>IF($G612&lt;&gt;"APARTADO","",IF(NOT(ISNUMBER($C612)),"FALTA LA HORA",IF($C612&lt;1,"FALTA LA FECHA",TEXT($C612+1,"dd/mm hh:mm"))))</f>
        <v/>
      </c>
    </row>
    <row r="613">
      <c r="A613" s="13" t="inlineStr">
        <is>
          <t>611</t>
        </is>
      </c>
      <c r="B613" t="inlineStr">
        <is>
          <t>LIBRE</t>
        </is>
      </c>
      <c r="C613" s="14" t="n"/>
      <c r="E613" s="15">
        <f>IF($G613&lt;&gt;"PAGADO","",IFERROR(IF(VLOOKUP($A613,COMPRADORES!$A:$D,4,FALSE)="NO","Reservado",LEFT(VLOOKUP($A613,COMPRADORES!$A:$D,2,FALSE),3)&amp;"***"&amp;IF(TRIM(MID(VLOOKUP($A613,COMPRADORES!$A:$D,2,FALSE)&amp;" ",FIND(" ",VLOOKUP($A613,COMPRADORES!$A:$D,2,FALSE)&amp;" ")+1,99))="",""," "&amp;LEFT(TRIM(MID(VLOOKUP($A613,COMPRADORES!$A:$D,2,FALSE)&amp;" ",FIND(" ",VLOOKUP($A613,COMPRADORES!$A:$D,2,FALSE)&amp;" ")+1,99)),1)&amp;".")),""))</f>
        <v/>
      </c>
      <c r="F613" s="16">
        <f>IF($B613="PAGADO",MID("ABCDEFGHIJ",INT(VALUE($A613)/100)+1,1)&amp;"-"&amp;$A613,"")</f>
        <v/>
      </c>
      <c r="G613" s="16">
        <f>IF($B613="PAGADO","PAGADO",IF($B613="APARTADO",IF(NOT(ISNUMBER($C613)),"APARTADO",IF($C613&lt;1,"APARTADO",IF(NOW()-$C613&gt;1,"LIBRE","APARTADO"))),"LIBRE"))</f>
        <v/>
      </c>
      <c r="H613" s="15">
        <f>IF($G613&lt;&gt;"APARTADO","",IF(NOT(ISNUMBER($C613)),"FALTA LA HORA",IF($C613&lt;1,"FALTA LA FECHA",TEXT($C613+1,"dd/mm hh:mm"))))</f>
        <v/>
      </c>
    </row>
    <row r="614">
      <c r="A614" s="13" t="inlineStr">
        <is>
          <t>612</t>
        </is>
      </c>
      <c r="B614" t="inlineStr">
        <is>
          <t>LIBRE</t>
        </is>
      </c>
      <c r="C614" s="14" t="n"/>
      <c r="E614" s="15">
        <f>IF($G614&lt;&gt;"PAGADO","",IFERROR(IF(VLOOKUP($A614,COMPRADORES!$A:$D,4,FALSE)="NO","Reservado",LEFT(VLOOKUP($A614,COMPRADORES!$A:$D,2,FALSE),3)&amp;"***"&amp;IF(TRIM(MID(VLOOKUP($A614,COMPRADORES!$A:$D,2,FALSE)&amp;" ",FIND(" ",VLOOKUP($A614,COMPRADORES!$A:$D,2,FALSE)&amp;" ")+1,99))="",""," "&amp;LEFT(TRIM(MID(VLOOKUP($A614,COMPRADORES!$A:$D,2,FALSE)&amp;" ",FIND(" ",VLOOKUP($A614,COMPRADORES!$A:$D,2,FALSE)&amp;" ")+1,99)),1)&amp;".")),""))</f>
        <v/>
      </c>
      <c r="F614" s="16">
        <f>IF($B614="PAGADO",MID("ABCDEFGHIJ",INT(VALUE($A614)/100)+1,1)&amp;"-"&amp;$A614,"")</f>
        <v/>
      </c>
      <c r="G614" s="16">
        <f>IF($B614="PAGADO","PAGADO",IF($B614="APARTADO",IF(NOT(ISNUMBER($C614)),"APARTADO",IF($C614&lt;1,"APARTADO",IF(NOW()-$C614&gt;1,"LIBRE","APARTADO"))),"LIBRE"))</f>
        <v/>
      </c>
      <c r="H614" s="15">
        <f>IF($G614&lt;&gt;"APARTADO","",IF(NOT(ISNUMBER($C614)),"FALTA LA HORA",IF($C614&lt;1,"FALTA LA FECHA",TEXT($C614+1,"dd/mm hh:mm"))))</f>
        <v/>
      </c>
    </row>
    <row r="615">
      <c r="A615" s="13" t="inlineStr">
        <is>
          <t>613</t>
        </is>
      </c>
      <c r="B615" t="inlineStr">
        <is>
          <t>LIBRE</t>
        </is>
      </c>
      <c r="C615" s="14" t="n"/>
      <c r="E615" s="15">
        <f>IF($G615&lt;&gt;"PAGADO","",IFERROR(IF(VLOOKUP($A615,COMPRADORES!$A:$D,4,FALSE)="NO","Reservado",LEFT(VLOOKUP($A615,COMPRADORES!$A:$D,2,FALSE),3)&amp;"***"&amp;IF(TRIM(MID(VLOOKUP($A615,COMPRADORES!$A:$D,2,FALSE)&amp;" ",FIND(" ",VLOOKUP($A615,COMPRADORES!$A:$D,2,FALSE)&amp;" ")+1,99))="",""," "&amp;LEFT(TRIM(MID(VLOOKUP($A615,COMPRADORES!$A:$D,2,FALSE)&amp;" ",FIND(" ",VLOOKUP($A615,COMPRADORES!$A:$D,2,FALSE)&amp;" ")+1,99)),1)&amp;".")),""))</f>
        <v/>
      </c>
      <c r="F615" s="16">
        <f>IF($B615="PAGADO",MID("ABCDEFGHIJ",INT(VALUE($A615)/100)+1,1)&amp;"-"&amp;$A615,"")</f>
        <v/>
      </c>
      <c r="G615" s="16">
        <f>IF($B615="PAGADO","PAGADO",IF($B615="APARTADO",IF(NOT(ISNUMBER($C615)),"APARTADO",IF($C615&lt;1,"APARTADO",IF(NOW()-$C615&gt;1,"LIBRE","APARTADO"))),"LIBRE"))</f>
        <v/>
      </c>
      <c r="H615" s="15">
        <f>IF($G615&lt;&gt;"APARTADO","",IF(NOT(ISNUMBER($C615)),"FALTA LA HORA",IF($C615&lt;1,"FALTA LA FECHA",TEXT($C615+1,"dd/mm hh:mm"))))</f>
        <v/>
      </c>
    </row>
    <row r="616">
      <c r="A616" s="13" t="inlineStr">
        <is>
          <t>614</t>
        </is>
      </c>
      <c r="B616" t="inlineStr">
        <is>
          <t>LIBRE</t>
        </is>
      </c>
      <c r="C616" s="14" t="n"/>
      <c r="E616" s="15">
        <f>IF($G616&lt;&gt;"PAGADO","",IFERROR(IF(VLOOKUP($A616,COMPRADORES!$A:$D,4,FALSE)="NO","Reservado",LEFT(VLOOKUP($A616,COMPRADORES!$A:$D,2,FALSE),3)&amp;"***"&amp;IF(TRIM(MID(VLOOKUP($A616,COMPRADORES!$A:$D,2,FALSE)&amp;" ",FIND(" ",VLOOKUP($A616,COMPRADORES!$A:$D,2,FALSE)&amp;" ")+1,99))="",""," "&amp;LEFT(TRIM(MID(VLOOKUP($A616,COMPRADORES!$A:$D,2,FALSE)&amp;" ",FIND(" ",VLOOKUP($A616,COMPRADORES!$A:$D,2,FALSE)&amp;" ")+1,99)),1)&amp;".")),""))</f>
        <v/>
      </c>
      <c r="F616" s="16">
        <f>IF($B616="PAGADO",MID("ABCDEFGHIJ",INT(VALUE($A616)/100)+1,1)&amp;"-"&amp;$A616,"")</f>
        <v/>
      </c>
      <c r="G616" s="16">
        <f>IF($B616="PAGADO","PAGADO",IF($B616="APARTADO",IF(NOT(ISNUMBER($C616)),"APARTADO",IF($C616&lt;1,"APARTADO",IF(NOW()-$C616&gt;1,"LIBRE","APARTADO"))),"LIBRE"))</f>
        <v/>
      </c>
      <c r="H616" s="15">
        <f>IF($G616&lt;&gt;"APARTADO","",IF(NOT(ISNUMBER($C616)),"FALTA LA HORA",IF($C616&lt;1,"FALTA LA FECHA",TEXT($C616+1,"dd/mm hh:mm"))))</f>
        <v/>
      </c>
    </row>
    <row r="617">
      <c r="A617" s="13" t="inlineStr">
        <is>
          <t>615</t>
        </is>
      </c>
      <c r="B617" t="inlineStr">
        <is>
          <t>LIBRE</t>
        </is>
      </c>
      <c r="C617" s="14" t="n"/>
      <c r="E617" s="15">
        <f>IF($G617&lt;&gt;"PAGADO","",IFERROR(IF(VLOOKUP($A617,COMPRADORES!$A:$D,4,FALSE)="NO","Reservado",LEFT(VLOOKUP($A617,COMPRADORES!$A:$D,2,FALSE),3)&amp;"***"&amp;IF(TRIM(MID(VLOOKUP($A617,COMPRADORES!$A:$D,2,FALSE)&amp;" ",FIND(" ",VLOOKUP($A617,COMPRADORES!$A:$D,2,FALSE)&amp;" ")+1,99))="",""," "&amp;LEFT(TRIM(MID(VLOOKUP($A617,COMPRADORES!$A:$D,2,FALSE)&amp;" ",FIND(" ",VLOOKUP($A617,COMPRADORES!$A:$D,2,FALSE)&amp;" ")+1,99)),1)&amp;".")),""))</f>
        <v/>
      </c>
      <c r="F617" s="16">
        <f>IF($B617="PAGADO",MID("ABCDEFGHIJ",INT(VALUE($A617)/100)+1,1)&amp;"-"&amp;$A617,"")</f>
        <v/>
      </c>
      <c r="G617" s="16">
        <f>IF($B617="PAGADO","PAGADO",IF($B617="APARTADO",IF(NOT(ISNUMBER($C617)),"APARTADO",IF($C617&lt;1,"APARTADO",IF(NOW()-$C617&gt;1,"LIBRE","APARTADO"))),"LIBRE"))</f>
        <v/>
      </c>
      <c r="H617" s="15">
        <f>IF($G617&lt;&gt;"APARTADO","",IF(NOT(ISNUMBER($C617)),"FALTA LA HORA",IF($C617&lt;1,"FALTA LA FECHA",TEXT($C617+1,"dd/mm hh:mm"))))</f>
        <v/>
      </c>
    </row>
    <row r="618">
      <c r="A618" s="13" t="inlineStr">
        <is>
          <t>616</t>
        </is>
      </c>
      <c r="B618" t="inlineStr">
        <is>
          <t>LIBRE</t>
        </is>
      </c>
      <c r="C618" s="14" t="n"/>
      <c r="E618" s="15">
        <f>IF($G618&lt;&gt;"PAGADO","",IFERROR(IF(VLOOKUP($A618,COMPRADORES!$A:$D,4,FALSE)="NO","Reservado",LEFT(VLOOKUP($A618,COMPRADORES!$A:$D,2,FALSE),3)&amp;"***"&amp;IF(TRIM(MID(VLOOKUP($A618,COMPRADORES!$A:$D,2,FALSE)&amp;" ",FIND(" ",VLOOKUP($A618,COMPRADORES!$A:$D,2,FALSE)&amp;" ")+1,99))="",""," "&amp;LEFT(TRIM(MID(VLOOKUP($A618,COMPRADORES!$A:$D,2,FALSE)&amp;" ",FIND(" ",VLOOKUP($A618,COMPRADORES!$A:$D,2,FALSE)&amp;" ")+1,99)),1)&amp;".")),""))</f>
        <v/>
      </c>
      <c r="F618" s="16">
        <f>IF($B618="PAGADO",MID("ABCDEFGHIJ",INT(VALUE($A618)/100)+1,1)&amp;"-"&amp;$A618,"")</f>
        <v/>
      </c>
      <c r="G618" s="16">
        <f>IF($B618="PAGADO","PAGADO",IF($B618="APARTADO",IF(NOT(ISNUMBER($C618)),"APARTADO",IF($C618&lt;1,"APARTADO",IF(NOW()-$C618&gt;1,"LIBRE","APARTADO"))),"LIBRE"))</f>
        <v/>
      </c>
      <c r="H618" s="15">
        <f>IF($G618&lt;&gt;"APARTADO","",IF(NOT(ISNUMBER($C618)),"FALTA LA HORA",IF($C618&lt;1,"FALTA LA FECHA",TEXT($C618+1,"dd/mm hh:mm"))))</f>
        <v/>
      </c>
    </row>
    <row r="619">
      <c r="A619" s="13" t="inlineStr">
        <is>
          <t>617</t>
        </is>
      </c>
      <c r="B619" t="inlineStr">
        <is>
          <t>LIBRE</t>
        </is>
      </c>
      <c r="C619" s="14" t="n"/>
      <c r="E619" s="15">
        <f>IF($G619&lt;&gt;"PAGADO","",IFERROR(IF(VLOOKUP($A619,COMPRADORES!$A:$D,4,FALSE)="NO","Reservado",LEFT(VLOOKUP($A619,COMPRADORES!$A:$D,2,FALSE),3)&amp;"***"&amp;IF(TRIM(MID(VLOOKUP($A619,COMPRADORES!$A:$D,2,FALSE)&amp;" ",FIND(" ",VLOOKUP($A619,COMPRADORES!$A:$D,2,FALSE)&amp;" ")+1,99))="",""," "&amp;LEFT(TRIM(MID(VLOOKUP($A619,COMPRADORES!$A:$D,2,FALSE)&amp;" ",FIND(" ",VLOOKUP($A619,COMPRADORES!$A:$D,2,FALSE)&amp;" ")+1,99)),1)&amp;".")),""))</f>
        <v/>
      </c>
      <c r="F619" s="16">
        <f>IF($B619="PAGADO",MID("ABCDEFGHIJ",INT(VALUE($A619)/100)+1,1)&amp;"-"&amp;$A619,"")</f>
        <v/>
      </c>
      <c r="G619" s="16">
        <f>IF($B619="PAGADO","PAGADO",IF($B619="APARTADO",IF(NOT(ISNUMBER($C619)),"APARTADO",IF($C619&lt;1,"APARTADO",IF(NOW()-$C619&gt;1,"LIBRE","APARTADO"))),"LIBRE"))</f>
        <v/>
      </c>
      <c r="H619" s="15">
        <f>IF($G619&lt;&gt;"APARTADO","",IF(NOT(ISNUMBER($C619)),"FALTA LA HORA",IF($C619&lt;1,"FALTA LA FECHA",TEXT($C619+1,"dd/mm hh:mm"))))</f>
        <v/>
      </c>
    </row>
    <row r="620">
      <c r="A620" s="13" t="inlineStr">
        <is>
          <t>618</t>
        </is>
      </c>
      <c r="B620" t="inlineStr">
        <is>
          <t>LIBRE</t>
        </is>
      </c>
      <c r="C620" s="14" t="n"/>
      <c r="E620" s="15">
        <f>IF($G620&lt;&gt;"PAGADO","",IFERROR(IF(VLOOKUP($A620,COMPRADORES!$A:$D,4,FALSE)="NO","Reservado",LEFT(VLOOKUP($A620,COMPRADORES!$A:$D,2,FALSE),3)&amp;"***"&amp;IF(TRIM(MID(VLOOKUP($A620,COMPRADORES!$A:$D,2,FALSE)&amp;" ",FIND(" ",VLOOKUP($A620,COMPRADORES!$A:$D,2,FALSE)&amp;" ")+1,99))="",""," "&amp;LEFT(TRIM(MID(VLOOKUP($A620,COMPRADORES!$A:$D,2,FALSE)&amp;" ",FIND(" ",VLOOKUP($A620,COMPRADORES!$A:$D,2,FALSE)&amp;" ")+1,99)),1)&amp;".")),""))</f>
        <v/>
      </c>
      <c r="F620" s="16">
        <f>IF($B620="PAGADO",MID("ABCDEFGHIJ",INT(VALUE($A620)/100)+1,1)&amp;"-"&amp;$A620,"")</f>
        <v/>
      </c>
      <c r="G620" s="16">
        <f>IF($B620="PAGADO","PAGADO",IF($B620="APARTADO",IF(NOT(ISNUMBER($C620)),"APARTADO",IF($C620&lt;1,"APARTADO",IF(NOW()-$C620&gt;1,"LIBRE","APARTADO"))),"LIBRE"))</f>
        <v/>
      </c>
      <c r="H620" s="15">
        <f>IF($G620&lt;&gt;"APARTADO","",IF(NOT(ISNUMBER($C620)),"FALTA LA HORA",IF($C620&lt;1,"FALTA LA FECHA",TEXT($C620+1,"dd/mm hh:mm"))))</f>
        <v/>
      </c>
    </row>
    <row r="621">
      <c r="A621" s="13" t="inlineStr">
        <is>
          <t>619</t>
        </is>
      </c>
      <c r="B621" t="inlineStr">
        <is>
          <t>LIBRE</t>
        </is>
      </c>
      <c r="C621" s="14" t="n"/>
      <c r="E621" s="15">
        <f>IF($G621&lt;&gt;"PAGADO","",IFERROR(IF(VLOOKUP($A621,COMPRADORES!$A:$D,4,FALSE)="NO","Reservado",LEFT(VLOOKUP($A621,COMPRADORES!$A:$D,2,FALSE),3)&amp;"***"&amp;IF(TRIM(MID(VLOOKUP($A621,COMPRADORES!$A:$D,2,FALSE)&amp;" ",FIND(" ",VLOOKUP($A621,COMPRADORES!$A:$D,2,FALSE)&amp;" ")+1,99))="",""," "&amp;LEFT(TRIM(MID(VLOOKUP($A621,COMPRADORES!$A:$D,2,FALSE)&amp;" ",FIND(" ",VLOOKUP($A621,COMPRADORES!$A:$D,2,FALSE)&amp;" ")+1,99)),1)&amp;".")),""))</f>
        <v/>
      </c>
      <c r="F621" s="16">
        <f>IF($B621="PAGADO",MID("ABCDEFGHIJ",INT(VALUE($A621)/100)+1,1)&amp;"-"&amp;$A621,"")</f>
        <v/>
      </c>
      <c r="G621" s="16">
        <f>IF($B621="PAGADO","PAGADO",IF($B621="APARTADO",IF(NOT(ISNUMBER($C621)),"APARTADO",IF($C621&lt;1,"APARTADO",IF(NOW()-$C621&gt;1,"LIBRE","APARTADO"))),"LIBRE"))</f>
        <v/>
      </c>
      <c r="H621" s="15">
        <f>IF($G621&lt;&gt;"APARTADO","",IF(NOT(ISNUMBER($C621)),"FALTA LA HORA",IF($C621&lt;1,"FALTA LA FECHA",TEXT($C621+1,"dd/mm hh:mm"))))</f>
        <v/>
      </c>
    </row>
    <row r="622">
      <c r="A622" s="13" t="inlineStr">
        <is>
          <t>620</t>
        </is>
      </c>
      <c r="B622" t="inlineStr">
        <is>
          <t>LIBRE</t>
        </is>
      </c>
      <c r="C622" s="14" t="n"/>
      <c r="E622" s="15">
        <f>IF($G622&lt;&gt;"PAGADO","",IFERROR(IF(VLOOKUP($A622,COMPRADORES!$A:$D,4,FALSE)="NO","Reservado",LEFT(VLOOKUP($A622,COMPRADORES!$A:$D,2,FALSE),3)&amp;"***"&amp;IF(TRIM(MID(VLOOKUP($A622,COMPRADORES!$A:$D,2,FALSE)&amp;" ",FIND(" ",VLOOKUP($A622,COMPRADORES!$A:$D,2,FALSE)&amp;" ")+1,99))="",""," "&amp;LEFT(TRIM(MID(VLOOKUP($A622,COMPRADORES!$A:$D,2,FALSE)&amp;" ",FIND(" ",VLOOKUP($A622,COMPRADORES!$A:$D,2,FALSE)&amp;" ")+1,99)),1)&amp;".")),""))</f>
        <v/>
      </c>
      <c r="F622" s="16">
        <f>IF($B622="PAGADO",MID("ABCDEFGHIJ",INT(VALUE($A622)/100)+1,1)&amp;"-"&amp;$A622,"")</f>
        <v/>
      </c>
      <c r="G622" s="16">
        <f>IF($B622="PAGADO","PAGADO",IF($B622="APARTADO",IF(NOT(ISNUMBER($C622)),"APARTADO",IF($C622&lt;1,"APARTADO",IF(NOW()-$C622&gt;1,"LIBRE","APARTADO"))),"LIBRE"))</f>
        <v/>
      </c>
      <c r="H622" s="15">
        <f>IF($G622&lt;&gt;"APARTADO","",IF(NOT(ISNUMBER($C622)),"FALTA LA HORA",IF($C622&lt;1,"FALTA LA FECHA",TEXT($C622+1,"dd/mm hh:mm"))))</f>
        <v/>
      </c>
    </row>
    <row r="623">
      <c r="A623" s="13" t="inlineStr">
        <is>
          <t>621</t>
        </is>
      </c>
      <c r="B623" t="inlineStr">
        <is>
          <t>LIBRE</t>
        </is>
      </c>
      <c r="C623" s="14" t="n"/>
      <c r="E623" s="15">
        <f>IF($G623&lt;&gt;"PAGADO","",IFERROR(IF(VLOOKUP($A623,COMPRADORES!$A:$D,4,FALSE)="NO","Reservado",LEFT(VLOOKUP($A623,COMPRADORES!$A:$D,2,FALSE),3)&amp;"***"&amp;IF(TRIM(MID(VLOOKUP($A623,COMPRADORES!$A:$D,2,FALSE)&amp;" ",FIND(" ",VLOOKUP($A623,COMPRADORES!$A:$D,2,FALSE)&amp;" ")+1,99))="",""," "&amp;LEFT(TRIM(MID(VLOOKUP($A623,COMPRADORES!$A:$D,2,FALSE)&amp;" ",FIND(" ",VLOOKUP($A623,COMPRADORES!$A:$D,2,FALSE)&amp;" ")+1,99)),1)&amp;".")),""))</f>
        <v/>
      </c>
      <c r="F623" s="16">
        <f>IF($B623="PAGADO",MID("ABCDEFGHIJ",INT(VALUE($A623)/100)+1,1)&amp;"-"&amp;$A623,"")</f>
        <v/>
      </c>
      <c r="G623" s="16">
        <f>IF($B623="PAGADO","PAGADO",IF($B623="APARTADO",IF(NOT(ISNUMBER($C623)),"APARTADO",IF($C623&lt;1,"APARTADO",IF(NOW()-$C623&gt;1,"LIBRE","APARTADO"))),"LIBRE"))</f>
        <v/>
      </c>
      <c r="H623" s="15">
        <f>IF($G623&lt;&gt;"APARTADO","",IF(NOT(ISNUMBER($C623)),"FALTA LA HORA",IF($C623&lt;1,"FALTA LA FECHA",TEXT($C623+1,"dd/mm hh:mm"))))</f>
        <v/>
      </c>
    </row>
    <row r="624">
      <c r="A624" s="13" t="inlineStr">
        <is>
          <t>622</t>
        </is>
      </c>
      <c r="B624" t="inlineStr">
        <is>
          <t>LIBRE</t>
        </is>
      </c>
      <c r="C624" s="14" t="n"/>
      <c r="E624" s="15">
        <f>IF($G624&lt;&gt;"PAGADO","",IFERROR(IF(VLOOKUP($A624,COMPRADORES!$A:$D,4,FALSE)="NO","Reservado",LEFT(VLOOKUP($A624,COMPRADORES!$A:$D,2,FALSE),3)&amp;"***"&amp;IF(TRIM(MID(VLOOKUP($A624,COMPRADORES!$A:$D,2,FALSE)&amp;" ",FIND(" ",VLOOKUP($A624,COMPRADORES!$A:$D,2,FALSE)&amp;" ")+1,99))="",""," "&amp;LEFT(TRIM(MID(VLOOKUP($A624,COMPRADORES!$A:$D,2,FALSE)&amp;" ",FIND(" ",VLOOKUP($A624,COMPRADORES!$A:$D,2,FALSE)&amp;" ")+1,99)),1)&amp;".")),""))</f>
        <v/>
      </c>
      <c r="F624" s="16">
        <f>IF($B624="PAGADO",MID("ABCDEFGHIJ",INT(VALUE($A624)/100)+1,1)&amp;"-"&amp;$A624,"")</f>
        <v/>
      </c>
      <c r="G624" s="16">
        <f>IF($B624="PAGADO","PAGADO",IF($B624="APARTADO",IF(NOT(ISNUMBER($C624)),"APARTADO",IF($C624&lt;1,"APARTADO",IF(NOW()-$C624&gt;1,"LIBRE","APARTADO"))),"LIBRE"))</f>
        <v/>
      </c>
      <c r="H624" s="15">
        <f>IF($G624&lt;&gt;"APARTADO","",IF(NOT(ISNUMBER($C624)),"FALTA LA HORA",IF($C624&lt;1,"FALTA LA FECHA",TEXT($C624+1,"dd/mm hh:mm"))))</f>
        <v/>
      </c>
    </row>
    <row r="625">
      <c r="A625" s="13" t="inlineStr">
        <is>
          <t>623</t>
        </is>
      </c>
      <c r="B625" t="inlineStr">
        <is>
          <t>LIBRE</t>
        </is>
      </c>
      <c r="C625" s="14" t="n"/>
      <c r="E625" s="15">
        <f>IF($G625&lt;&gt;"PAGADO","",IFERROR(IF(VLOOKUP($A625,COMPRADORES!$A:$D,4,FALSE)="NO","Reservado",LEFT(VLOOKUP($A625,COMPRADORES!$A:$D,2,FALSE),3)&amp;"***"&amp;IF(TRIM(MID(VLOOKUP($A625,COMPRADORES!$A:$D,2,FALSE)&amp;" ",FIND(" ",VLOOKUP($A625,COMPRADORES!$A:$D,2,FALSE)&amp;" ")+1,99))="",""," "&amp;LEFT(TRIM(MID(VLOOKUP($A625,COMPRADORES!$A:$D,2,FALSE)&amp;" ",FIND(" ",VLOOKUP($A625,COMPRADORES!$A:$D,2,FALSE)&amp;" ")+1,99)),1)&amp;".")),""))</f>
        <v/>
      </c>
      <c r="F625" s="16">
        <f>IF($B625="PAGADO",MID("ABCDEFGHIJ",INT(VALUE($A625)/100)+1,1)&amp;"-"&amp;$A625,"")</f>
        <v/>
      </c>
      <c r="G625" s="16">
        <f>IF($B625="PAGADO","PAGADO",IF($B625="APARTADO",IF(NOT(ISNUMBER($C625)),"APARTADO",IF($C625&lt;1,"APARTADO",IF(NOW()-$C625&gt;1,"LIBRE","APARTADO"))),"LIBRE"))</f>
        <v/>
      </c>
      <c r="H625" s="15">
        <f>IF($G625&lt;&gt;"APARTADO","",IF(NOT(ISNUMBER($C625)),"FALTA LA HORA",IF($C625&lt;1,"FALTA LA FECHA",TEXT($C625+1,"dd/mm hh:mm"))))</f>
        <v/>
      </c>
    </row>
    <row r="626">
      <c r="A626" s="13" t="inlineStr">
        <is>
          <t>624</t>
        </is>
      </c>
      <c r="B626" t="inlineStr">
        <is>
          <t>LIBRE</t>
        </is>
      </c>
      <c r="C626" s="14" t="n"/>
      <c r="E626" s="15">
        <f>IF($G626&lt;&gt;"PAGADO","",IFERROR(IF(VLOOKUP($A626,COMPRADORES!$A:$D,4,FALSE)="NO","Reservado",LEFT(VLOOKUP($A626,COMPRADORES!$A:$D,2,FALSE),3)&amp;"***"&amp;IF(TRIM(MID(VLOOKUP($A626,COMPRADORES!$A:$D,2,FALSE)&amp;" ",FIND(" ",VLOOKUP($A626,COMPRADORES!$A:$D,2,FALSE)&amp;" ")+1,99))="",""," "&amp;LEFT(TRIM(MID(VLOOKUP($A626,COMPRADORES!$A:$D,2,FALSE)&amp;" ",FIND(" ",VLOOKUP($A626,COMPRADORES!$A:$D,2,FALSE)&amp;" ")+1,99)),1)&amp;".")),""))</f>
        <v/>
      </c>
      <c r="F626" s="16">
        <f>IF($B626="PAGADO",MID("ABCDEFGHIJ",INT(VALUE($A626)/100)+1,1)&amp;"-"&amp;$A626,"")</f>
        <v/>
      </c>
      <c r="G626" s="16">
        <f>IF($B626="PAGADO","PAGADO",IF($B626="APARTADO",IF(NOT(ISNUMBER($C626)),"APARTADO",IF($C626&lt;1,"APARTADO",IF(NOW()-$C626&gt;1,"LIBRE","APARTADO"))),"LIBRE"))</f>
        <v/>
      </c>
      <c r="H626" s="15">
        <f>IF($G626&lt;&gt;"APARTADO","",IF(NOT(ISNUMBER($C626)),"FALTA LA HORA",IF($C626&lt;1,"FALTA LA FECHA",TEXT($C626+1,"dd/mm hh:mm"))))</f>
        <v/>
      </c>
    </row>
    <row r="627">
      <c r="A627" s="13" t="inlineStr">
        <is>
          <t>625</t>
        </is>
      </c>
      <c r="B627" t="inlineStr">
        <is>
          <t>LIBRE</t>
        </is>
      </c>
      <c r="C627" s="14" t="n"/>
      <c r="E627" s="15">
        <f>IF($G627&lt;&gt;"PAGADO","",IFERROR(IF(VLOOKUP($A627,COMPRADORES!$A:$D,4,FALSE)="NO","Reservado",LEFT(VLOOKUP($A627,COMPRADORES!$A:$D,2,FALSE),3)&amp;"***"&amp;IF(TRIM(MID(VLOOKUP($A627,COMPRADORES!$A:$D,2,FALSE)&amp;" ",FIND(" ",VLOOKUP($A627,COMPRADORES!$A:$D,2,FALSE)&amp;" ")+1,99))="",""," "&amp;LEFT(TRIM(MID(VLOOKUP($A627,COMPRADORES!$A:$D,2,FALSE)&amp;" ",FIND(" ",VLOOKUP($A627,COMPRADORES!$A:$D,2,FALSE)&amp;" ")+1,99)),1)&amp;".")),""))</f>
        <v/>
      </c>
      <c r="F627" s="16">
        <f>IF($B627="PAGADO",MID("ABCDEFGHIJ",INT(VALUE($A627)/100)+1,1)&amp;"-"&amp;$A627,"")</f>
        <v/>
      </c>
      <c r="G627" s="16">
        <f>IF($B627="PAGADO","PAGADO",IF($B627="APARTADO",IF(NOT(ISNUMBER($C627)),"APARTADO",IF($C627&lt;1,"APARTADO",IF(NOW()-$C627&gt;1,"LIBRE","APARTADO"))),"LIBRE"))</f>
        <v/>
      </c>
      <c r="H627" s="15">
        <f>IF($G627&lt;&gt;"APARTADO","",IF(NOT(ISNUMBER($C627)),"FALTA LA HORA",IF($C627&lt;1,"FALTA LA FECHA",TEXT($C627+1,"dd/mm hh:mm"))))</f>
        <v/>
      </c>
    </row>
    <row r="628">
      <c r="A628" s="13" t="inlineStr">
        <is>
          <t>626</t>
        </is>
      </c>
      <c r="B628" t="inlineStr">
        <is>
          <t>LIBRE</t>
        </is>
      </c>
      <c r="C628" s="14" t="n"/>
      <c r="E628" s="15">
        <f>IF($G628&lt;&gt;"PAGADO","",IFERROR(IF(VLOOKUP($A628,COMPRADORES!$A:$D,4,FALSE)="NO","Reservado",LEFT(VLOOKUP($A628,COMPRADORES!$A:$D,2,FALSE),3)&amp;"***"&amp;IF(TRIM(MID(VLOOKUP($A628,COMPRADORES!$A:$D,2,FALSE)&amp;" ",FIND(" ",VLOOKUP($A628,COMPRADORES!$A:$D,2,FALSE)&amp;" ")+1,99))="",""," "&amp;LEFT(TRIM(MID(VLOOKUP($A628,COMPRADORES!$A:$D,2,FALSE)&amp;" ",FIND(" ",VLOOKUP($A628,COMPRADORES!$A:$D,2,FALSE)&amp;" ")+1,99)),1)&amp;".")),""))</f>
        <v/>
      </c>
      <c r="F628" s="16">
        <f>IF($B628="PAGADO",MID("ABCDEFGHIJ",INT(VALUE($A628)/100)+1,1)&amp;"-"&amp;$A628,"")</f>
        <v/>
      </c>
      <c r="G628" s="16">
        <f>IF($B628="PAGADO","PAGADO",IF($B628="APARTADO",IF(NOT(ISNUMBER($C628)),"APARTADO",IF($C628&lt;1,"APARTADO",IF(NOW()-$C628&gt;1,"LIBRE","APARTADO"))),"LIBRE"))</f>
        <v/>
      </c>
      <c r="H628" s="15">
        <f>IF($G628&lt;&gt;"APARTADO","",IF(NOT(ISNUMBER($C628)),"FALTA LA HORA",IF($C628&lt;1,"FALTA LA FECHA",TEXT($C628+1,"dd/mm hh:mm"))))</f>
        <v/>
      </c>
    </row>
    <row r="629">
      <c r="A629" s="13" t="inlineStr">
        <is>
          <t>627</t>
        </is>
      </c>
      <c r="B629" t="inlineStr">
        <is>
          <t>LIBRE</t>
        </is>
      </c>
      <c r="C629" s="14" t="n"/>
      <c r="E629" s="15">
        <f>IF($G629&lt;&gt;"PAGADO","",IFERROR(IF(VLOOKUP($A629,COMPRADORES!$A:$D,4,FALSE)="NO","Reservado",LEFT(VLOOKUP($A629,COMPRADORES!$A:$D,2,FALSE),3)&amp;"***"&amp;IF(TRIM(MID(VLOOKUP($A629,COMPRADORES!$A:$D,2,FALSE)&amp;" ",FIND(" ",VLOOKUP($A629,COMPRADORES!$A:$D,2,FALSE)&amp;" ")+1,99))="",""," "&amp;LEFT(TRIM(MID(VLOOKUP($A629,COMPRADORES!$A:$D,2,FALSE)&amp;" ",FIND(" ",VLOOKUP($A629,COMPRADORES!$A:$D,2,FALSE)&amp;" ")+1,99)),1)&amp;".")),""))</f>
        <v/>
      </c>
      <c r="F629" s="16">
        <f>IF($B629="PAGADO",MID("ABCDEFGHIJ",INT(VALUE($A629)/100)+1,1)&amp;"-"&amp;$A629,"")</f>
        <v/>
      </c>
      <c r="G629" s="16">
        <f>IF($B629="PAGADO","PAGADO",IF($B629="APARTADO",IF(NOT(ISNUMBER($C629)),"APARTADO",IF($C629&lt;1,"APARTADO",IF(NOW()-$C629&gt;1,"LIBRE","APARTADO"))),"LIBRE"))</f>
        <v/>
      </c>
      <c r="H629" s="15">
        <f>IF($G629&lt;&gt;"APARTADO","",IF(NOT(ISNUMBER($C629)),"FALTA LA HORA",IF($C629&lt;1,"FALTA LA FECHA",TEXT($C629+1,"dd/mm hh:mm"))))</f>
        <v/>
      </c>
    </row>
    <row r="630">
      <c r="A630" s="13" t="inlineStr">
        <is>
          <t>628</t>
        </is>
      </c>
      <c r="B630" t="inlineStr">
        <is>
          <t>LIBRE</t>
        </is>
      </c>
      <c r="C630" s="14" t="n"/>
      <c r="E630" s="15">
        <f>IF($G630&lt;&gt;"PAGADO","",IFERROR(IF(VLOOKUP($A630,COMPRADORES!$A:$D,4,FALSE)="NO","Reservado",LEFT(VLOOKUP($A630,COMPRADORES!$A:$D,2,FALSE),3)&amp;"***"&amp;IF(TRIM(MID(VLOOKUP($A630,COMPRADORES!$A:$D,2,FALSE)&amp;" ",FIND(" ",VLOOKUP($A630,COMPRADORES!$A:$D,2,FALSE)&amp;" ")+1,99))="",""," "&amp;LEFT(TRIM(MID(VLOOKUP($A630,COMPRADORES!$A:$D,2,FALSE)&amp;" ",FIND(" ",VLOOKUP($A630,COMPRADORES!$A:$D,2,FALSE)&amp;" ")+1,99)),1)&amp;".")),""))</f>
        <v/>
      </c>
      <c r="F630" s="16">
        <f>IF($B630="PAGADO",MID("ABCDEFGHIJ",INT(VALUE($A630)/100)+1,1)&amp;"-"&amp;$A630,"")</f>
        <v/>
      </c>
      <c r="G630" s="16">
        <f>IF($B630="PAGADO","PAGADO",IF($B630="APARTADO",IF(NOT(ISNUMBER($C630)),"APARTADO",IF($C630&lt;1,"APARTADO",IF(NOW()-$C630&gt;1,"LIBRE","APARTADO"))),"LIBRE"))</f>
        <v/>
      </c>
      <c r="H630" s="15">
        <f>IF($G630&lt;&gt;"APARTADO","",IF(NOT(ISNUMBER($C630)),"FALTA LA HORA",IF($C630&lt;1,"FALTA LA FECHA",TEXT($C630+1,"dd/mm hh:mm"))))</f>
        <v/>
      </c>
    </row>
    <row r="631">
      <c r="A631" s="13" t="inlineStr">
        <is>
          <t>629</t>
        </is>
      </c>
      <c r="B631" t="inlineStr">
        <is>
          <t>LIBRE</t>
        </is>
      </c>
      <c r="C631" s="14" t="n"/>
      <c r="E631" s="15">
        <f>IF($G631&lt;&gt;"PAGADO","",IFERROR(IF(VLOOKUP($A631,COMPRADORES!$A:$D,4,FALSE)="NO","Reservado",LEFT(VLOOKUP($A631,COMPRADORES!$A:$D,2,FALSE),3)&amp;"***"&amp;IF(TRIM(MID(VLOOKUP($A631,COMPRADORES!$A:$D,2,FALSE)&amp;" ",FIND(" ",VLOOKUP($A631,COMPRADORES!$A:$D,2,FALSE)&amp;" ")+1,99))="",""," "&amp;LEFT(TRIM(MID(VLOOKUP($A631,COMPRADORES!$A:$D,2,FALSE)&amp;" ",FIND(" ",VLOOKUP($A631,COMPRADORES!$A:$D,2,FALSE)&amp;" ")+1,99)),1)&amp;".")),""))</f>
        <v/>
      </c>
      <c r="F631" s="16">
        <f>IF($B631="PAGADO",MID("ABCDEFGHIJ",INT(VALUE($A631)/100)+1,1)&amp;"-"&amp;$A631,"")</f>
        <v/>
      </c>
      <c r="G631" s="16">
        <f>IF($B631="PAGADO","PAGADO",IF($B631="APARTADO",IF(NOT(ISNUMBER($C631)),"APARTADO",IF($C631&lt;1,"APARTADO",IF(NOW()-$C631&gt;1,"LIBRE","APARTADO"))),"LIBRE"))</f>
        <v/>
      </c>
      <c r="H631" s="15">
        <f>IF($G631&lt;&gt;"APARTADO","",IF(NOT(ISNUMBER($C631)),"FALTA LA HORA",IF($C631&lt;1,"FALTA LA FECHA",TEXT($C631+1,"dd/mm hh:mm"))))</f>
        <v/>
      </c>
    </row>
    <row r="632">
      <c r="A632" s="13" t="inlineStr">
        <is>
          <t>630</t>
        </is>
      </c>
      <c r="B632" t="inlineStr">
        <is>
          <t>LIBRE</t>
        </is>
      </c>
      <c r="C632" s="14" t="n"/>
      <c r="E632" s="15">
        <f>IF($G632&lt;&gt;"PAGADO","",IFERROR(IF(VLOOKUP($A632,COMPRADORES!$A:$D,4,FALSE)="NO","Reservado",LEFT(VLOOKUP($A632,COMPRADORES!$A:$D,2,FALSE),3)&amp;"***"&amp;IF(TRIM(MID(VLOOKUP($A632,COMPRADORES!$A:$D,2,FALSE)&amp;" ",FIND(" ",VLOOKUP($A632,COMPRADORES!$A:$D,2,FALSE)&amp;" ")+1,99))="",""," "&amp;LEFT(TRIM(MID(VLOOKUP($A632,COMPRADORES!$A:$D,2,FALSE)&amp;" ",FIND(" ",VLOOKUP($A632,COMPRADORES!$A:$D,2,FALSE)&amp;" ")+1,99)),1)&amp;".")),""))</f>
        <v/>
      </c>
      <c r="F632" s="16">
        <f>IF($B632="PAGADO",MID("ABCDEFGHIJ",INT(VALUE($A632)/100)+1,1)&amp;"-"&amp;$A632,"")</f>
        <v/>
      </c>
      <c r="G632" s="16">
        <f>IF($B632="PAGADO","PAGADO",IF($B632="APARTADO",IF(NOT(ISNUMBER($C632)),"APARTADO",IF($C632&lt;1,"APARTADO",IF(NOW()-$C632&gt;1,"LIBRE","APARTADO"))),"LIBRE"))</f>
        <v/>
      </c>
      <c r="H632" s="15">
        <f>IF($G632&lt;&gt;"APARTADO","",IF(NOT(ISNUMBER($C632)),"FALTA LA HORA",IF($C632&lt;1,"FALTA LA FECHA",TEXT($C632+1,"dd/mm hh:mm"))))</f>
        <v/>
      </c>
    </row>
    <row r="633">
      <c r="A633" s="13" t="inlineStr">
        <is>
          <t>631</t>
        </is>
      </c>
      <c r="B633" t="inlineStr">
        <is>
          <t>LIBRE</t>
        </is>
      </c>
      <c r="C633" s="14" t="n"/>
      <c r="E633" s="15">
        <f>IF($G633&lt;&gt;"PAGADO","",IFERROR(IF(VLOOKUP($A633,COMPRADORES!$A:$D,4,FALSE)="NO","Reservado",LEFT(VLOOKUP($A633,COMPRADORES!$A:$D,2,FALSE),3)&amp;"***"&amp;IF(TRIM(MID(VLOOKUP($A633,COMPRADORES!$A:$D,2,FALSE)&amp;" ",FIND(" ",VLOOKUP($A633,COMPRADORES!$A:$D,2,FALSE)&amp;" ")+1,99))="",""," "&amp;LEFT(TRIM(MID(VLOOKUP($A633,COMPRADORES!$A:$D,2,FALSE)&amp;" ",FIND(" ",VLOOKUP($A633,COMPRADORES!$A:$D,2,FALSE)&amp;" ")+1,99)),1)&amp;".")),""))</f>
        <v/>
      </c>
      <c r="F633" s="16">
        <f>IF($B633="PAGADO",MID("ABCDEFGHIJ",INT(VALUE($A633)/100)+1,1)&amp;"-"&amp;$A633,"")</f>
        <v/>
      </c>
      <c r="G633" s="16">
        <f>IF($B633="PAGADO","PAGADO",IF($B633="APARTADO",IF(NOT(ISNUMBER($C633)),"APARTADO",IF($C633&lt;1,"APARTADO",IF(NOW()-$C633&gt;1,"LIBRE","APARTADO"))),"LIBRE"))</f>
        <v/>
      </c>
      <c r="H633" s="15">
        <f>IF($G633&lt;&gt;"APARTADO","",IF(NOT(ISNUMBER($C633)),"FALTA LA HORA",IF($C633&lt;1,"FALTA LA FECHA",TEXT($C633+1,"dd/mm hh:mm"))))</f>
        <v/>
      </c>
    </row>
    <row r="634">
      <c r="A634" s="13" t="inlineStr">
        <is>
          <t>632</t>
        </is>
      </c>
      <c r="B634" t="inlineStr">
        <is>
          <t>LIBRE</t>
        </is>
      </c>
      <c r="C634" s="14" t="n"/>
      <c r="E634" s="15">
        <f>IF($G634&lt;&gt;"PAGADO","",IFERROR(IF(VLOOKUP($A634,COMPRADORES!$A:$D,4,FALSE)="NO","Reservado",LEFT(VLOOKUP($A634,COMPRADORES!$A:$D,2,FALSE),3)&amp;"***"&amp;IF(TRIM(MID(VLOOKUP($A634,COMPRADORES!$A:$D,2,FALSE)&amp;" ",FIND(" ",VLOOKUP($A634,COMPRADORES!$A:$D,2,FALSE)&amp;" ")+1,99))="",""," "&amp;LEFT(TRIM(MID(VLOOKUP($A634,COMPRADORES!$A:$D,2,FALSE)&amp;" ",FIND(" ",VLOOKUP($A634,COMPRADORES!$A:$D,2,FALSE)&amp;" ")+1,99)),1)&amp;".")),""))</f>
        <v/>
      </c>
      <c r="F634" s="16">
        <f>IF($B634="PAGADO",MID("ABCDEFGHIJ",INT(VALUE($A634)/100)+1,1)&amp;"-"&amp;$A634,"")</f>
        <v/>
      </c>
      <c r="G634" s="16">
        <f>IF($B634="PAGADO","PAGADO",IF($B634="APARTADO",IF(NOT(ISNUMBER($C634)),"APARTADO",IF($C634&lt;1,"APARTADO",IF(NOW()-$C634&gt;1,"LIBRE","APARTADO"))),"LIBRE"))</f>
        <v/>
      </c>
      <c r="H634" s="15">
        <f>IF($G634&lt;&gt;"APARTADO","",IF(NOT(ISNUMBER($C634)),"FALTA LA HORA",IF($C634&lt;1,"FALTA LA FECHA",TEXT($C634+1,"dd/mm hh:mm"))))</f>
        <v/>
      </c>
    </row>
    <row r="635">
      <c r="A635" s="13" t="inlineStr">
        <is>
          <t>633</t>
        </is>
      </c>
      <c r="B635" t="inlineStr">
        <is>
          <t>LIBRE</t>
        </is>
      </c>
      <c r="C635" s="14" t="n"/>
      <c r="E635" s="15">
        <f>IF($G635&lt;&gt;"PAGADO","",IFERROR(IF(VLOOKUP($A635,COMPRADORES!$A:$D,4,FALSE)="NO","Reservado",LEFT(VLOOKUP($A635,COMPRADORES!$A:$D,2,FALSE),3)&amp;"***"&amp;IF(TRIM(MID(VLOOKUP($A635,COMPRADORES!$A:$D,2,FALSE)&amp;" ",FIND(" ",VLOOKUP($A635,COMPRADORES!$A:$D,2,FALSE)&amp;" ")+1,99))="",""," "&amp;LEFT(TRIM(MID(VLOOKUP($A635,COMPRADORES!$A:$D,2,FALSE)&amp;" ",FIND(" ",VLOOKUP($A635,COMPRADORES!$A:$D,2,FALSE)&amp;" ")+1,99)),1)&amp;".")),""))</f>
        <v/>
      </c>
      <c r="F635" s="16">
        <f>IF($B635="PAGADO",MID("ABCDEFGHIJ",INT(VALUE($A635)/100)+1,1)&amp;"-"&amp;$A635,"")</f>
        <v/>
      </c>
      <c r="G635" s="16">
        <f>IF($B635="PAGADO","PAGADO",IF($B635="APARTADO",IF(NOT(ISNUMBER($C635)),"APARTADO",IF($C635&lt;1,"APARTADO",IF(NOW()-$C635&gt;1,"LIBRE","APARTADO"))),"LIBRE"))</f>
        <v/>
      </c>
      <c r="H635" s="15">
        <f>IF($G635&lt;&gt;"APARTADO","",IF(NOT(ISNUMBER($C635)),"FALTA LA HORA",IF($C635&lt;1,"FALTA LA FECHA",TEXT($C635+1,"dd/mm hh:mm"))))</f>
        <v/>
      </c>
    </row>
    <row r="636">
      <c r="A636" s="13" t="inlineStr">
        <is>
          <t>634</t>
        </is>
      </c>
      <c r="B636" t="inlineStr">
        <is>
          <t>LIBRE</t>
        </is>
      </c>
      <c r="C636" s="14" t="n"/>
      <c r="E636" s="15">
        <f>IF($G636&lt;&gt;"PAGADO","",IFERROR(IF(VLOOKUP($A636,COMPRADORES!$A:$D,4,FALSE)="NO","Reservado",LEFT(VLOOKUP($A636,COMPRADORES!$A:$D,2,FALSE),3)&amp;"***"&amp;IF(TRIM(MID(VLOOKUP($A636,COMPRADORES!$A:$D,2,FALSE)&amp;" ",FIND(" ",VLOOKUP($A636,COMPRADORES!$A:$D,2,FALSE)&amp;" ")+1,99))="",""," "&amp;LEFT(TRIM(MID(VLOOKUP($A636,COMPRADORES!$A:$D,2,FALSE)&amp;" ",FIND(" ",VLOOKUP($A636,COMPRADORES!$A:$D,2,FALSE)&amp;" ")+1,99)),1)&amp;".")),""))</f>
        <v/>
      </c>
      <c r="F636" s="16">
        <f>IF($B636="PAGADO",MID("ABCDEFGHIJ",INT(VALUE($A636)/100)+1,1)&amp;"-"&amp;$A636,"")</f>
        <v/>
      </c>
      <c r="G636" s="16">
        <f>IF($B636="PAGADO","PAGADO",IF($B636="APARTADO",IF(NOT(ISNUMBER($C636)),"APARTADO",IF($C636&lt;1,"APARTADO",IF(NOW()-$C636&gt;1,"LIBRE","APARTADO"))),"LIBRE"))</f>
        <v/>
      </c>
      <c r="H636" s="15">
        <f>IF($G636&lt;&gt;"APARTADO","",IF(NOT(ISNUMBER($C636)),"FALTA LA HORA",IF($C636&lt;1,"FALTA LA FECHA",TEXT($C636+1,"dd/mm hh:mm"))))</f>
        <v/>
      </c>
    </row>
    <row r="637">
      <c r="A637" s="13" t="inlineStr">
        <is>
          <t>635</t>
        </is>
      </c>
      <c r="B637" t="inlineStr">
        <is>
          <t>LIBRE</t>
        </is>
      </c>
      <c r="C637" s="14" t="n"/>
      <c r="E637" s="15">
        <f>IF($G637&lt;&gt;"PAGADO","",IFERROR(IF(VLOOKUP($A637,COMPRADORES!$A:$D,4,FALSE)="NO","Reservado",LEFT(VLOOKUP($A637,COMPRADORES!$A:$D,2,FALSE),3)&amp;"***"&amp;IF(TRIM(MID(VLOOKUP($A637,COMPRADORES!$A:$D,2,FALSE)&amp;" ",FIND(" ",VLOOKUP($A637,COMPRADORES!$A:$D,2,FALSE)&amp;" ")+1,99))="",""," "&amp;LEFT(TRIM(MID(VLOOKUP($A637,COMPRADORES!$A:$D,2,FALSE)&amp;" ",FIND(" ",VLOOKUP($A637,COMPRADORES!$A:$D,2,FALSE)&amp;" ")+1,99)),1)&amp;".")),""))</f>
        <v/>
      </c>
      <c r="F637" s="16">
        <f>IF($B637="PAGADO",MID("ABCDEFGHIJ",INT(VALUE($A637)/100)+1,1)&amp;"-"&amp;$A637,"")</f>
        <v/>
      </c>
      <c r="G637" s="16">
        <f>IF($B637="PAGADO","PAGADO",IF($B637="APARTADO",IF(NOT(ISNUMBER($C637)),"APARTADO",IF($C637&lt;1,"APARTADO",IF(NOW()-$C637&gt;1,"LIBRE","APARTADO"))),"LIBRE"))</f>
        <v/>
      </c>
      <c r="H637" s="15">
        <f>IF($G637&lt;&gt;"APARTADO","",IF(NOT(ISNUMBER($C637)),"FALTA LA HORA",IF($C637&lt;1,"FALTA LA FECHA",TEXT($C637+1,"dd/mm hh:mm"))))</f>
        <v/>
      </c>
    </row>
    <row r="638">
      <c r="A638" s="13" t="inlineStr">
        <is>
          <t>636</t>
        </is>
      </c>
      <c r="B638" t="inlineStr">
        <is>
          <t>LIBRE</t>
        </is>
      </c>
      <c r="C638" s="14" t="n"/>
      <c r="E638" s="15">
        <f>IF($G638&lt;&gt;"PAGADO","",IFERROR(IF(VLOOKUP($A638,COMPRADORES!$A:$D,4,FALSE)="NO","Reservado",LEFT(VLOOKUP($A638,COMPRADORES!$A:$D,2,FALSE),3)&amp;"***"&amp;IF(TRIM(MID(VLOOKUP($A638,COMPRADORES!$A:$D,2,FALSE)&amp;" ",FIND(" ",VLOOKUP($A638,COMPRADORES!$A:$D,2,FALSE)&amp;" ")+1,99))="",""," "&amp;LEFT(TRIM(MID(VLOOKUP($A638,COMPRADORES!$A:$D,2,FALSE)&amp;" ",FIND(" ",VLOOKUP($A638,COMPRADORES!$A:$D,2,FALSE)&amp;" ")+1,99)),1)&amp;".")),""))</f>
        <v/>
      </c>
      <c r="F638" s="16">
        <f>IF($B638="PAGADO",MID("ABCDEFGHIJ",INT(VALUE($A638)/100)+1,1)&amp;"-"&amp;$A638,"")</f>
        <v/>
      </c>
      <c r="G638" s="16">
        <f>IF($B638="PAGADO","PAGADO",IF($B638="APARTADO",IF(NOT(ISNUMBER($C638)),"APARTADO",IF($C638&lt;1,"APARTADO",IF(NOW()-$C638&gt;1,"LIBRE","APARTADO"))),"LIBRE"))</f>
        <v/>
      </c>
      <c r="H638" s="15">
        <f>IF($G638&lt;&gt;"APARTADO","",IF(NOT(ISNUMBER($C638)),"FALTA LA HORA",IF($C638&lt;1,"FALTA LA FECHA",TEXT($C638+1,"dd/mm hh:mm"))))</f>
        <v/>
      </c>
    </row>
    <row r="639">
      <c r="A639" s="13" t="inlineStr">
        <is>
          <t>637</t>
        </is>
      </c>
      <c r="B639" t="inlineStr">
        <is>
          <t>LIBRE</t>
        </is>
      </c>
      <c r="C639" s="14" t="n"/>
      <c r="E639" s="15">
        <f>IF($G639&lt;&gt;"PAGADO","",IFERROR(IF(VLOOKUP($A639,COMPRADORES!$A:$D,4,FALSE)="NO","Reservado",LEFT(VLOOKUP($A639,COMPRADORES!$A:$D,2,FALSE),3)&amp;"***"&amp;IF(TRIM(MID(VLOOKUP($A639,COMPRADORES!$A:$D,2,FALSE)&amp;" ",FIND(" ",VLOOKUP($A639,COMPRADORES!$A:$D,2,FALSE)&amp;" ")+1,99))="",""," "&amp;LEFT(TRIM(MID(VLOOKUP($A639,COMPRADORES!$A:$D,2,FALSE)&amp;" ",FIND(" ",VLOOKUP($A639,COMPRADORES!$A:$D,2,FALSE)&amp;" ")+1,99)),1)&amp;".")),""))</f>
        <v/>
      </c>
      <c r="F639" s="16">
        <f>IF($B639="PAGADO",MID("ABCDEFGHIJ",INT(VALUE($A639)/100)+1,1)&amp;"-"&amp;$A639,"")</f>
        <v/>
      </c>
      <c r="G639" s="16">
        <f>IF($B639="PAGADO","PAGADO",IF($B639="APARTADO",IF(NOT(ISNUMBER($C639)),"APARTADO",IF($C639&lt;1,"APARTADO",IF(NOW()-$C639&gt;1,"LIBRE","APARTADO"))),"LIBRE"))</f>
        <v/>
      </c>
      <c r="H639" s="15">
        <f>IF($G639&lt;&gt;"APARTADO","",IF(NOT(ISNUMBER($C639)),"FALTA LA HORA",IF($C639&lt;1,"FALTA LA FECHA",TEXT($C639+1,"dd/mm hh:mm"))))</f>
        <v/>
      </c>
    </row>
    <row r="640">
      <c r="A640" s="13" t="inlineStr">
        <is>
          <t>638</t>
        </is>
      </c>
      <c r="B640" t="inlineStr">
        <is>
          <t>LIBRE</t>
        </is>
      </c>
      <c r="C640" s="14" t="n"/>
      <c r="E640" s="15">
        <f>IF($G640&lt;&gt;"PAGADO","",IFERROR(IF(VLOOKUP($A640,COMPRADORES!$A:$D,4,FALSE)="NO","Reservado",LEFT(VLOOKUP($A640,COMPRADORES!$A:$D,2,FALSE),3)&amp;"***"&amp;IF(TRIM(MID(VLOOKUP($A640,COMPRADORES!$A:$D,2,FALSE)&amp;" ",FIND(" ",VLOOKUP($A640,COMPRADORES!$A:$D,2,FALSE)&amp;" ")+1,99))="",""," "&amp;LEFT(TRIM(MID(VLOOKUP($A640,COMPRADORES!$A:$D,2,FALSE)&amp;" ",FIND(" ",VLOOKUP($A640,COMPRADORES!$A:$D,2,FALSE)&amp;" ")+1,99)),1)&amp;".")),""))</f>
        <v/>
      </c>
      <c r="F640" s="16">
        <f>IF($B640="PAGADO",MID("ABCDEFGHIJ",INT(VALUE($A640)/100)+1,1)&amp;"-"&amp;$A640,"")</f>
        <v/>
      </c>
      <c r="G640" s="16">
        <f>IF($B640="PAGADO","PAGADO",IF($B640="APARTADO",IF(NOT(ISNUMBER($C640)),"APARTADO",IF($C640&lt;1,"APARTADO",IF(NOW()-$C640&gt;1,"LIBRE","APARTADO"))),"LIBRE"))</f>
        <v/>
      </c>
      <c r="H640" s="15">
        <f>IF($G640&lt;&gt;"APARTADO","",IF(NOT(ISNUMBER($C640)),"FALTA LA HORA",IF($C640&lt;1,"FALTA LA FECHA",TEXT($C640+1,"dd/mm hh:mm"))))</f>
        <v/>
      </c>
    </row>
    <row r="641">
      <c r="A641" s="13" t="inlineStr">
        <is>
          <t>639</t>
        </is>
      </c>
      <c r="B641" t="inlineStr">
        <is>
          <t>LIBRE</t>
        </is>
      </c>
      <c r="C641" s="14" t="n"/>
      <c r="E641" s="15">
        <f>IF($G641&lt;&gt;"PAGADO","",IFERROR(IF(VLOOKUP($A641,COMPRADORES!$A:$D,4,FALSE)="NO","Reservado",LEFT(VLOOKUP($A641,COMPRADORES!$A:$D,2,FALSE),3)&amp;"***"&amp;IF(TRIM(MID(VLOOKUP($A641,COMPRADORES!$A:$D,2,FALSE)&amp;" ",FIND(" ",VLOOKUP($A641,COMPRADORES!$A:$D,2,FALSE)&amp;" ")+1,99))="",""," "&amp;LEFT(TRIM(MID(VLOOKUP($A641,COMPRADORES!$A:$D,2,FALSE)&amp;" ",FIND(" ",VLOOKUP($A641,COMPRADORES!$A:$D,2,FALSE)&amp;" ")+1,99)),1)&amp;".")),""))</f>
        <v/>
      </c>
      <c r="F641" s="16">
        <f>IF($B641="PAGADO",MID("ABCDEFGHIJ",INT(VALUE($A641)/100)+1,1)&amp;"-"&amp;$A641,"")</f>
        <v/>
      </c>
      <c r="G641" s="16">
        <f>IF($B641="PAGADO","PAGADO",IF($B641="APARTADO",IF(NOT(ISNUMBER($C641)),"APARTADO",IF($C641&lt;1,"APARTADO",IF(NOW()-$C641&gt;1,"LIBRE","APARTADO"))),"LIBRE"))</f>
        <v/>
      </c>
      <c r="H641" s="15">
        <f>IF($G641&lt;&gt;"APARTADO","",IF(NOT(ISNUMBER($C641)),"FALTA LA HORA",IF($C641&lt;1,"FALTA LA FECHA",TEXT($C641+1,"dd/mm hh:mm"))))</f>
        <v/>
      </c>
    </row>
    <row r="642">
      <c r="A642" s="13" t="inlineStr">
        <is>
          <t>640</t>
        </is>
      </c>
      <c r="B642" t="inlineStr">
        <is>
          <t>LIBRE</t>
        </is>
      </c>
      <c r="C642" s="14" t="n"/>
      <c r="E642" s="15">
        <f>IF($G642&lt;&gt;"PAGADO","",IFERROR(IF(VLOOKUP($A642,COMPRADORES!$A:$D,4,FALSE)="NO","Reservado",LEFT(VLOOKUP($A642,COMPRADORES!$A:$D,2,FALSE),3)&amp;"***"&amp;IF(TRIM(MID(VLOOKUP($A642,COMPRADORES!$A:$D,2,FALSE)&amp;" ",FIND(" ",VLOOKUP($A642,COMPRADORES!$A:$D,2,FALSE)&amp;" ")+1,99))="",""," "&amp;LEFT(TRIM(MID(VLOOKUP($A642,COMPRADORES!$A:$D,2,FALSE)&amp;" ",FIND(" ",VLOOKUP($A642,COMPRADORES!$A:$D,2,FALSE)&amp;" ")+1,99)),1)&amp;".")),""))</f>
        <v/>
      </c>
      <c r="F642" s="16">
        <f>IF($B642="PAGADO",MID("ABCDEFGHIJ",INT(VALUE($A642)/100)+1,1)&amp;"-"&amp;$A642,"")</f>
        <v/>
      </c>
      <c r="G642" s="16">
        <f>IF($B642="PAGADO","PAGADO",IF($B642="APARTADO",IF(NOT(ISNUMBER($C642)),"APARTADO",IF($C642&lt;1,"APARTADO",IF(NOW()-$C642&gt;1,"LIBRE","APARTADO"))),"LIBRE"))</f>
        <v/>
      </c>
      <c r="H642" s="15">
        <f>IF($G642&lt;&gt;"APARTADO","",IF(NOT(ISNUMBER($C642)),"FALTA LA HORA",IF($C642&lt;1,"FALTA LA FECHA",TEXT($C642+1,"dd/mm hh:mm"))))</f>
        <v/>
      </c>
    </row>
    <row r="643">
      <c r="A643" s="13" t="inlineStr">
        <is>
          <t>641</t>
        </is>
      </c>
      <c r="B643" t="inlineStr">
        <is>
          <t>LIBRE</t>
        </is>
      </c>
      <c r="C643" s="14" t="n"/>
      <c r="E643" s="15">
        <f>IF($G643&lt;&gt;"PAGADO","",IFERROR(IF(VLOOKUP($A643,COMPRADORES!$A:$D,4,FALSE)="NO","Reservado",LEFT(VLOOKUP($A643,COMPRADORES!$A:$D,2,FALSE),3)&amp;"***"&amp;IF(TRIM(MID(VLOOKUP($A643,COMPRADORES!$A:$D,2,FALSE)&amp;" ",FIND(" ",VLOOKUP($A643,COMPRADORES!$A:$D,2,FALSE)&amp;" ")+1,99))="",""," "&amp;LEFT(TRIM(MID(VLOOKUP($A643,COMPRADORES!$A:$D,2,FALSE)&amp;" ",FIND(" ",VLOOKUP($A643,COMPRADORES!$A:$D,2,FALSE)&amp;" ")+1,99)),1)&amp;".")),""))</f>
        <v/>
      </c>
      <c r="F643" s="16">
        <f>IF($B643="PAGADO",MID("ABCDEFGHIJ",INT(VALUE($A643)/100)+1,1)&amp;"-"&amp;$A643,"")</f>
        <v/>
      </c>
      <c r="G643" s="16">
        <f>IF($B643="PAGADO","PAGADO",IF($B643="APARTADO",IF(NOT(ISNUMBER($C643)),"APARTADO",IF($C643&lt;1,"APARTADO",IF(NOW()-$C643&gt;1,"LIBRE","APARTADO"))),"LIBRE"))</f>
        <v/>
      </c>
      <c r="H643" s="15">
        <f>IF($G643&lt;&gt;"APARTADO","",IF(NOT(ISNUMBER($C643)),"FALTA LA HORA",IF($C643&lt;1,"FALTA LA FECHA",TEXT($C643+1,"dd/mm hh:mm"))))</f>
        <v/>
      </c>
    </row>
    <row r="644">
      <c r="A644" s="13" t="inlineStr">
        <is>
          <t>642</t>
        </is>
      </c>
      <c r="B644" t="inlineStr">
        <is>
          <t>LIBRE</t>
        </is>
      </c>
      <c r="C644" s="14" t="n"/>
      <c r="E644" s="15">
        <f>IF($G644&lt;&gt;"PAGADO","",IFERROR(IF(VLOOKUP($A644,COMPRADORES!$A:$D,4,FALSE)="NO","Reservado",LEFT(VLOOKUP($A644,COMPRADORES!$A:$D,2,FALSE),3)&amp;"***"&amp;IF(TRIM(MID(VLOOKUP($A644,COMPRADORES!$A:$D,2,FALSE)&amp;" ",FIND(" ",VLOOKUP($A644,COMPRADORES!$A:$D,2,FALSE)&amp;" ")+1,99))="",""," "&amp;LEFT(TRIM(MID(VLOOKUP($A644,COMPRADORES!$A:$D,2,FALSE)&amp;" ",FIND(" ",VLOOKUP($A644,COMPRADORES!$A:$D,2,FALSE)&amp;" ")+1,99)),1)&amp;".")),""))</f>
        <v/>
      </c>
      <c r="F644" s="16">
        <f>IF($B644="PAGADO",MID("ABCDEFGHIJ",INT(VALUE($A644)/100)+1,1)&amp;"-"&amp;$A644,"")</f>
        <v/>
      </c>
      <c r="G644" s="16">
        <f>IF($B644="PAGADO","PAGADO",IF($B644="APARTADO",IF(NOT(ISNUMBER($C644)),"APARTADO",IF($C644&lt;1,"APARTADO",IF(NOW()-$C644&gt;1,"LIBRE","APARTADO"))),"LIBRE"))</f>
        <v/>
      </c>
      <c r="H644" s="15">
        <f>IF($G644&lt;&gt;"APARTADO","",IF(NOT(ISNUMBER($C644)),"FALTA LA HORA",IF($C644&lt;1,"FALTA LA FECHA",TEXT($C644+1,"dd/mm hh:mm"))))</f>
        <v/>
      </c>
    </row>
    <row r="645">
      <c r="A645" s="13" t="inlineStr">
        <is>
          <t>643</t>
        </is>
      </c>
      <c r="B645" t="inlineStr">
        <is>
          <t>LIBRE</t>
        </is>
      </c>
      <c r="C645" s="14" t="n"/>
      <c r="E645" s="15">
        <f>IF($G645&lt;&gt;"PAGADO","",IFERROR(IF(VLOOKUP($A645,COMPRADORES!$A:$D,4,FALSE)="NO","Reservado",LEFT(VLOOKUP($A645,COMPRADORES!$A:$D,2,FALSE),3)&amp;"***"&amp;IF(TRIM(MID(VLOOKUP($A645,COMPRADORES!$A:$D,2,FALSE)&amp;" ",FIND(" ",VLOOKUP($A645,COMPRADORES!$A:$D,2,FALSE)&amp;" ")+1,99))="",""," "&amp;LEFT(TRIM(MID(VLOOKUP($A645,COMPRADORES!$A:$D,2,FALSE)&amp;" ",FIND(" ",VLOOKUP($A645,COMPRADORES!$A:$D,2,FALSE)&amp;" ")+1,99)),1)&amp;".")),""))</f>
        <v/>
      </c>
      <c r="F645" s="16">
        <f>IF($B645="PAGADO",MID("ABCDEFGHIJ",INT(VALUE($A645)/100)+1,1)&amp;"-"&amp;$A645,"")</f>
        <v/>
      </c>
      <c r="G645" s="16">
        <f>IF($B645="PAGADO","PAGADO",IF($B645="APARTADO",IF(NOT(ISNUMBER($C645)),"APARTADO",IF($C645&lt;1,"APARTADO",IF(NOW()-$C645&gt;1,"LIBRE","APARTADO"))),"LIBRE"))</f>
        <v/>
      </c>
      <c r="H645" s="15">
        <f>IF($G645&lt;&gt;"APARTADO","",IF(NOT(ISNUMBER($C645)),"FALTA LA HORA",IF($C645&lt;1,"FALTA LA FECHA",TEXT($C645+1,"dd/mm hh:mm"))))</f>
        <v/>
      </c>
    </row>
    <row r="646">
      <c r="A646" s="13" t="inlineStr">
        <is>
          <t>644</t>
        </is>
      </c>
      <c r="B646" t="inlineStr">
        <is>
          <t>LIBRE</t>
        </is>
      </c>
      <c r="C646" s="14" t="n"/>
      <c r="E646" s="15">
        <f>IF($G646&lt;&gt;"PAGADO","",IFERROR(IF(VLOOKUP($A646,COMPRADORES!$A:$D,4,FALSE)="NO","Reservado",LEFT(VLOOKUP($A646,COMPRADORES!$A:$D,2,FALSE),3)&amp;"***"&amp;IF(TRIM(MID(VLOOKUP($A646,COMPRADORES!$A:$D,2,FALSE)&amp;" ",FIND(" ",VLOOKUP($A646,COMPRADORES!$A:$D,2,FALSE)&amp;" ")+1,99))="",""," "&amp;LEFT(TRIM(MID(VLOOKUP($A646,COMPRADORES!$A:$D,2,FALSE)&amp;" ",FIND(" ",VLOOKUP($A646,COMPRADORES!$A:$D,2,FALSE)&amp;" ")+1,99)),1)&amp;".")),""))</f>
        <v/>
      </c>
      <c r="F646" s="16">
        <f>IF($B646="PAGADO",MID("ABCDEFGHIJ",INT(VALUE($A646)/100)+1,1)&amp;"-"&amp;$A646,"")</f>
        <v/>
      </c>
      <c r="G646" s="16">
        <f>IF($B646="PAGADO","PAGADO",IF($B646="APARTADO",IF(NOT(ISNUMBER($C646)),"APARTADO",IF($C646&lt;1,"APARTADO",IF(NOW()-$C646&gt;1,"LIBRE","APARTADO"))),"LIBRE"))</f>
        <v/>
      </c>
      <c r="H646" s="15">
        <f>IF($G646&lt;&gt;"APARTADO","",IF(NOT(ISNUMBER($C646)),"FALTA LA HORA",IF($C646&lt;1,"FALTA LA FECHA",TEXT($C646+1,"dd/mm hh:mm"))))</f>
        <v/>
      </c>
    </row>
    <row r="647">
      <c r="A647" s="13" t="inlineStr">
        <is>
          <t>645</t>
        </is>
      </c>
      <c r="B647" t="inlineStr">
        <is>
          <t>LIBRE</t>
        </is>
      </c>
      <c r="C647" s="14" t="n"/>
      <c r="E647" s="15">
        <f>IF($G647&lt;&gt;"PAGADO","",IFERROR(IF(VLOOKUP($A647,COMPRADORES!$A:$D,4,FALSE)="NO","Reservado",LEFT(VLOOKUP($A647,COMPRADORES!$A:$D,2,FALSE),3)&amp;"***"&amp;IF(TRIM(MID(VLOOKUP($A647,COMPRADORES!$A:$D,2,FALSE)&amp;" ",FIND(" ",VLOOKUP($A647,COMPRADORES!$A:$D,2,FALSE)&amp;" ")+1,99))="",""," "&amp;LEFT(TRIM(MID(VLOOKUP($A647,COMPRADORES!$A:$D,2,FALSE)&amp;" ",FIND(" ",VLOOKUP($A647,COMPRADORES!$A:$D,2,FALSE)&amp;" ")+1,99)),1)&amp;".")),""))</f>
        <v/>
      </c>
      <c r="F647" s="16">
        <f>IF($B647="PAGADO",MID("ABCDEFGHIJ",INT(VALUE($A647)/100)+1,1)&amp;"-"&amp;$A647,"")</f>
        <v/>
      </c>
      <c r="G647" s="16">
        <f>IF($B647="PAGADO","PAGADO",IF($B647="APARTADO",IF(NOT(ISNUMBER($C647)),"APARTADO",IF($C647&lt;1,"APARTADO",IF(NOW()-$C647&gt;1,"LIBRE","APARTADO"))),"LIBRE"))</f>
        <v/>
      </c>
      <c r="H647" s="15">
        <f>IF($G647&lt;&gt;"APARTADO","",IF(NOT(ISNUMBER($C647)),"FALTA LA HORA",IF($C647&lt;1,"FALTA LA FECHA",TEXT($C647+1,"dd/mm hh:mm"))))</f>
        <v/>
      </c>
    </row>
    <row r="648">
      <c r="A648" s="13" t="inlineStr">
        <is>
          <t>646</t>
        </is>
      </c>
      <c r="B648" t="inlineStr">
        <is>
          <t>LIBRE</t>
        </is>
      </c>
      <c r="C648" s="14" t="n"/>
      <c r="E648" s="15">
        <f>IF($G648&lt;&gt;"PAGADO","",IFERROR(IF(VLOOKUP($A648,COMPRADORES!$A:$D,4,FALSE)="NO","Reservado",LEFT(VLOOKUP($A648,COMPRADORES!$A:$D,2,FALSE),3)&amp;"***"&amp;IF(TRIM(MID(VLOOKUP($A648,COMPRADORES!$A:$D,2,FALSE)&amp;" ",FIND(" ",VLOOKUP($A648,COMPRADORES!$A:$D,2,FALSE)&amp;" ")+1,99))="",""," "&amp;LEFT(TRIM(MID(VLOOKUP($A648,COMPRADORES!$A:$D,2,FALSE)&amp;" ",FIND(" ",VLOOKUP($A648,COMPRADORES!$A:$D,2,FALSE)&amp;" ")+1,99)),1)&amp;".")),""))</f>
        <v/>
      </c>
      <c r="F648" s="16">
        <f>IF($B648="PAGADO",MID("ABCDEFGHIJ",INT(VALUE($A648)/100)+1,1)&amp;"-"&amp;$A648,"")</f>
        <v/>
      </c>
      <c r="G648" s="16">
        <f>IF($B648="PAGADO","PAGADO",IF($B648="APARTADO",IF(NOT(ISNUMBER($C648)),"APARTADO",IF($C648&lt;1,"APARTADO",IF(NOW()-$C648&gt;1,"LIBRE","APARTADO"))),"LIBRE"))</f>
        <v/>
      </c>
      <c r="H648" s="15">
        <f>IF($G648&lt;&gt;"APARTADO","",IF(NOT(ISNUMBER($C648)),"FALTA LA HORA",IF($C648&lt;1,"FALTA LA FECHA",TEXT($C648+1,"dd/mm hh:mm"))))</f>
        <v/>
      </c>
    </row>
    <row r="649">
      <c r="A649" s="13" t="inlineStr">
        <is>
          <t>647</t>
        </is>
      </c>
      <c r="B649" t="inlineStr">
        <is>
          <t>LIBRE</t>
        </is>
      </c>
      <c r="C649" s="14" t="n"/>
      <c r="E649" s="15">
        <f>IF($G649&lt;&gt;"PAGADO","",IFERROR(IF(VLOOKUP($A649,COMPRADORES!$A:$D,4,FALSE)="NO","Reservado",LEFT(VLOOKUP($A649,COMPRADORES!$A:$D,2,FALSE),3)&amp;"***"&amp;IF(TRIM(MID(VLOOKUP($A649,COMPRADORES!$A:$D,2,FALSE)&amp;" ",FIND(" ",VLOOKUP($A649,COMPRADORES!$A:$D,2,FALSE)&amp;" ")+1,99))="",""," "&amp;LEFT(TRIM(MID(VLOOKUP($A649,COMPRADORES!$A:$D,2,FALSE)&amp;" ",FIND(" ",VLOOKUP($A649,COMPRADORES!$A:$D,2,FALSE)&amp;" ")+1,99)),1)&amp;".")),""))</f>
        <v/>
      </c>
      <c r="F649" s="16">
        <f>IF($B649="PAGADO",MID("ABCDEFGHIJ",INT(VALUE($A649)/100)+1,1)&amp;"-"&amp;$A649,"")</f>
        <v/>
      </c>
      <c r="G649" s="16">
        <f>IF($B649="PAGADO","PAGADO",IF($B649="APARTADO",IF(NOT(ISNUMBER($C649)),"APARTADO",IF($C649&lt;1,"APARTADO",IF(NOW()-$C649&gt;1,"LIBRE","APARTADO"))),"LIBRE"))</f>
        <v/>
      </c>
      <c r="H649" s="15">
        <f>IF($G649&lt;&gt;"APARTADO","",IF(NOT(ISNUMBER($C649)),"FALTA LA HORA",IF($C649&lt;1,"FALTA LA FECHA",TEXT($C649+1,"dd/mm hh:mm"))))</f>
        <v/>
      </c>
    </row>
    <row r="650">
      <c r="A650" s="13" t="inlineStr">
        <is>
          <t>648</t>
        </is>
      </c>
      <c r="B650" t="inlineStr">
        <is>
          <t>LIBRE</t>
        </is>
      </c>
      <c r="C650" s="14" t="n"/>
      <c r="E650" s="15">
        <f>IF($G650&lt;&gt;"PAGADO","",IFERROR(IF(VLOOKUP($A650,COMPRADORES!$A:$D,4,FALSE)="NO","Reservado",LEFT(VLOOKUP($A650,COMPRADORES!$A:$D,2,FALSE),3)&amp;"***"&amp;IF(TRIM(MID(VLOOKUP($A650,COMPRADORES!$A:$D,2,FALSE)&amp;" ",FIND(" ",VLOOKUP($A650,COMPRADORES!$A:$D,2,FALSE)&amp;" ")+1,99))="",""," "&amp;LEFT(TRIM(MID(VLOOKUP($A650,COMPRADORES!$A:$D,2,FALSE)&amp;" ",FIND(" ",VLOOKUP($A650,COMPRADORES!$A:$D,2,FALSE)&amp;" ")+1,99)),1)&amp;".")),""))</f>
        <v/>
      </c>
      <c r="F650" s="16">
        <f>IF($B650="PAGADO",MID("ABCDEFGHIJ",INT(VALUE($A650)/100)+1,1)&amp;"-"&amp;$A650,"")</f>
        <v/>
      </c>
      <c r="G650" s="16">
        <f>IF($B650="PAGADO","PAGADO",IF($B650="APARTADO",IF(NOT(ISNUMBER($C650)),"APARTADO",IF($C650&lt;1,"APARTADO",IF(NOW()-$C650&gt;1,"LIBRE","APARTADO"))),"LIBRE"))</f>
        <v/>
      </c>
      <c r="H650" s="15">
        <f>IF($G650&lt;&gt;"APARTADO","",IF(NOT(ISNUMBER($C650)),"FALTA LA HORA",IF($C650&lt;1,"FALTA LA FECHA",TEXT($C650+1,"dd/mm hh:mm"))))</f>
        <v/>
      </c>
    </row>
    <row r="651">
      <c r="A651" s="13" t="inlineStr">
        <is>
          <t>649</t>
        </is>
      </c>
      <c r="B651" t="inlineStr">
        <is>
          <t>LIBRE</t>
        </is>
      </c>
      <c r="C651" s="14" t="n"/>
      <c r="E651" s="15">
        <f>IF($G651&lt;&gt;"PAGADO","",IFERROR(IF(VLOOKUP($A651,COMPRADORES!$A:$D,4,FALSE)="NO","Reservado",LEFT(VLOOKUP($A651,COMPRADORES!$A:$D,2,FALSE),3)&amp;"***"&amp;IF(TRIM(MID(VLOOKUP($A651,COMPRADORES!$A:$D,2,FALSE)&amp;" ",FIND(" ",VLOOKUP($A651,COMPRADORES!$A:$D,2,FALSE)&amp;" ")+1,99))="",""," "&amp;LEFT(TRIM(MID(VLOOKUP($A651,COMPRADORES!$A:$D,2,FALSE)&amp;" ",FIND(" ",VLOOKUP($A651,COMPRADORES!$A:$D,2,FALSE)&amp;" ")+1,99)),1)&amp;".")),""))</f>
        <v/>
      </c>
      <c r="F651" s="16">
        <f>IF($B651="PAGADO",MID("ABCDEFGHIJ",INT(VALUE($A651)/100)+1,1)&amp;"-"&amp;$A651,"")</f>
        <v/>
      </c>
      <c r="G651" s="16">
        <f>IF($B651="PAGADO","PAGADO",IF($B651="APARTADO",IF(NOT(ISNUMBER($C651)),"APARTADO",IF($C651&lt;1,"APARTADO",IF(NOW()-$C651&gt;1,"LIBRE","APARTADO"))),"LIBRE"))</f>
        <v/>
      </c>
      <c r="H651" s="15">
        <f>IF($G651&lt;&gt;"APARTADO","",IF(NOT(ISNUMBER($C651)),"FALTA LA HORA",IF($C651&lt;1,"FALTA LA FECHA",TEXT($C651+1,"dd/mm hh:mm"))))</f>
        <v/>
      </c>
    </row>
    <row r="652">
      <c r="A652" s="13" t="inlineStr">
        <is>
          <t>650</t>
        </is>
      </c>
      <c r="B652" t="inlineStr">
        <is>
          <t>LIBRE</t>
        </is>
      </c>
      <c r="C652" s="14" t="n"/>
      <c r="E652" s="15">
        <f>IF($G652&lt;&gt;"PAGADO","",IFERROR(IF(VLOOKUP($A652,COMPRADORES!$A:$D,4,FALSE)="NO","Reservado",LEFT(VLOOKUP($A652,COMPRADORES!$A:$D,2,FALSE),3)&amp;"***"&amp;IF(TRIM(MID(VLOOKUP($A652,COMPRADORES!$A:$D,2,FALSE)&amp;" ",FIND(" ",VLOOKUP($A652,COMPRADORES!$A:$D,2,FALSE)&amp;" ")+1,99))="",""," "&amp;LEFT(TRIM(MID(VLOOKUP($A652,COMPRADORES!$A:$D,2,FALSE)&amp;" ",FIND(" ",VLOOKUP($A652,COMPRADORES!$A:$D,2,FALSE)&amp;" ")+1,99)),1)&amp;".")),""))</f>
        <v/>
      </c>
      <c r="F652" s="16">
        <f>IF($B652="PAGADO",MID("ABCDEFGHIJ",INT(VALUE($A652)/100)+1,1)&amp;"-"&amp;$A652,"")</f>
        <v/>
      </c>
      <c r="G652" s="16">
        <f>IF($B652="PAGADO","PAGADO",IF($B652="APARTADO",IF(NOT(ISNUMBER($C652)),"APARTADO",IF($C652&lt;1,"APARTADO",IF(NOW()-$C652&gt;1,"LIBRE","APARTADO"))),"LIBRE"))</f>
        <v/>
      </c>
      <c r="H652" s="15">
        <f>IF($G652&lt;&gt;"APARTADO","",IF(NOT(ISNUMBER($C652)),"FALTA LA HORA",IF($C652&lt;1,"FALTA LA FECHA",TEXT($C652+1,"dd/mm hh:mm"))))</f>
        <v/>
      </c>
    </row>
    <row r="653">
      <c r="A653" s="13" t="inlineStr">
        <is>
          <t>651</t>
        </is>
      </c>
      <c r="B653" t="inlineStr">
        <is>
          <t>LIBRE</t>
        </is>
      </c>
      <c r="C653" s="14" t="n"/>
      <c r="E653" s="15">
        <f>IF($G653&lt;&gt;"PAGADO","",IFERROR(IF(VLOOKUP($A653,COMPRADORES!$A:$D,4,FALSE)="NO","Reservado",LEFT(VLOOKUP($A653,COMPRADORES!$A:$D,2,FALSE),3)&amp;"***"&amp;IF(TRIM(MID(VLOOKUP($A653,COMPRADORES!$A:$D,2,FALSE)&amp;" ",FIND(" ",VLOOKUP($A653,COMPRADORES!$A:$D,2,FALSE)&amp;" ")+1,99))="",""," "&amp;LEFT(TRIM(MID(VLOOKUP($A653,COMPRADORES!$A:$D,2,FALSE)&amp;" ",FIND(" ",VLOOKUP($A653,COMPRADORES!$A:$D,2,FALSE)&amp;" ")+1,99)),1)&amp;".")),""))</f>
        <v/>
      </c>
      <c r="F653" s="16">
        <f>IF($B653="PAGADO",MID("ABCDEFGHIJ",INT(VALUE($A653)/100)+1,1)&amp;"-"&amp;$A653,"")</f>
        <v/>
      </c>
      <c r="G653" s="16">
        <f>IF($B653="PAGADO","PAGADO",IF($B653="APARTADO",IF(NOT(ISNUMBER($C653)),"APARTADO",IF($C653&lt;1,"APARTADO",IF(NOW()-$C653&gt;1,"LIBRE","APARTADO"))),"LIBRE"))</f>
        <v/>
      </c>
      <c r="H653" s="15">
        <f>IF($G653&lt;&gt;"APARTADO","",IF(NOT(ISNUMBER($C653)),"FALTA LA HORA",IF($C653&lt;1,"FALTA LA FECHA",TEXT($C653+1,"dd/mm hh:mm"))))</f>
        <v/>
      </c>
    </row>
    <row r="654">
      <c r="A654" s="13" t="inlineStr">
        <is>
          <t>652</t>
        </is>
      </c>
      <c r="B654" t="inlineStr">
        <is>
          <t>LIBRE</t>
        </is>
      </c>
      <c r="C654" s="14" t="n"/>
      <c r="E654" s="15">
        <f>IF($G654&lt;&gt;"PAGADO","",IFERROR(IF(VLOOKUP($A654,COMPRADORES!$A:$D,4,FALSE)="NO","Reservado",LEFT(VLOOKUP($A654,COMPRADORES!$A:$D,2,FALSE),3)&amp;"***"&amp;IF(TRIM(MID(VLOOKUP($A654,COMPRADORES!$A:$D,2,FALSE)&amp;" ",FIND(" ",VLOOKUP($A654,COMPRADORES!$A:$D,2,FALSE)&amp;" ")+1,99))="",""," "&amp;LEFT(TRIM(MID(VLOOKUP($A654,COMPRADORES!$A:$D,2,FALSE)&amp;" ",FIND(" ",VLOOKUP($A654,COMPRADORES!$A:$D,2,FALSE)&amp;" ")+1,99)),1)&amp;".")),""))</f>
        <v/>
      </c>
      <c r="F654" s="16">
        <f>IF($B654="PAGADO",MID("ABCDEFGHIJ",INT(VALUE($A654)/100)+1,1)&amp;"-"&amp;$A654,"")</f>
        <v/>
      </c>
      <c r="G654" s="16">
        <f>IF($B654="PAGADO","PAGADO",IF($B654="APARTADO",IF(NOT(ISNUMBER($C654)),"APARTADO",IF($C654&lt;1,"APARTADO",IF(NOW()-$C654&gt;1,"LIBRE","APARTADO"))),"LIBRE"))</f>
        <v/>
      </c>
      <c r="H654" s="15">
        <f>IF($G654&lt;&gt;"APARTADO","",IF(NOT(ISNUMBER($C654)),"FALTA LA HORA",IF($C654&lt;1,"FALTA LA FECHA",TEXT($C654+1,"dd/mm hh:mm"))))</f>
        <v/>
      </c>
    </row>
    <row r="655">
      <c r="A655" s="13" t="inlineStr">
        <is>
          <t>653</t>
        </is>
      </c>
      <c r="B655" t="inlineStr">
        <is>
          <t>LIBRE</t>
        </is>
      </c>
      <c r="C655" s="14" t="n"/>
      <c r="E655" s="15">
        <f>IF($G655&lt;&gt;"PAGADO","",IFERROR(IF(VLOOKUP($A655,COMPRADORES!$A:$D,4,FALSE)="NO","Reservado",LEFT(VLOOKUP($A655,COMPRADORES!$A:$D,2,FALSE),3)&amp;"***"&amp;IF(TRIM(MID(VLOOKUP($A655,COMPRADORES!$A:$D,2,FALSE)&amp;" ",FIND(" ",VLOOKUP($A655,COMPRADORES!$A:$D,2,FALSE)&amp;" ")+1,99))="",""," "&amp;LEFT(TRIM(MID(VLOOKUP($A655,COMPRADORES!$A:$D,2,FALSE)&amp;" ",FIND(" ",VLOOKUP($A655,COMPRADORES!$A:$D,2,FALSE)&amp;" ")+1,99)),1)&amp;".")),""))</f>
        <v/>
      </c>
      <c r="F655" s="16">
        <f>IF($B655="PAGADO",MID("ABCDEFGHIJ",INT(VALUE($A655)/100)+1,1)&amp;"-"&amp;$A655,"")</f>
        <v/>
      </c>
      <c r="G655" s="16">
        <f>IF($B655="PAGADO","PAGADO",IF($B655="APARTADO",IF(NOT(ISNUMBER($C655)),"APARTADO",IF($C655&lt;1,"APARTADO",IF(NOW()-$C655&gt;1,"LIBRE","APARTADO"))),"LIBRE"))</f>
        <v/>
      </c>
      <c r="H655" s="15">
        <f>IF($G655&lt;&gt;"APARTADO","",IF(NOT(ISNUMBER($C655)),"FALTA LA HORA",IF($C655&lt;1,"FALTA LA FECHA",TEXT($C655+1,"dd/mm hh:mm"))))</f>
        <v/>
      </c>
    </row>
    <row r="656">
      <c r="A656" s="13" t="inlineStr">
        <is>
          <t>654</t>
        </is>
      </c>
      <c r="B656" t="inlineStr">
        <is>
          <t>LIBRE</t>
        </is>
      </c>
      <c r="C656" s="14" t="n"/>
      <c r="E656" s="15">
        <f>IF($G656&lt;&gt;"PAGADO","",IFERROR(IF(VLOOKUP($A656,COMPRADORES!$A:$D,4,FALSE)="NO","Reservado",LEFT(VLOOKUP($A656,COMPRADORES!$A:$D,2,FALSE),3)&amp;"***"&amp;IF(TRIM(MID(VLOOKUP($A656,COMPRADORES!$A:$D,2,FALSE)&amp;" ",FIND(" ",VLOOKUP($A656,COMPRADORES!$A:$D,2,FALSE)&amp;" ")+1,99))="",""," "&amp;LEFT(TRIM(MID(VLOOKUP($A656,COMPRADORES!$A:$D,2,FALSE)&amp;" ",FIND(" ",VLOOKUP($A656,COMPRADORES!$A:$D,2,FALSE)&amp;" ")+1,99)),1)&amp;".")),""))</f>
        <v/>
      </c>
      <c r="F656" s="16">
        <f>IF($B656="PAGADO",MID("ABCDEFGHIJ",INT(VALUE($A656)/100)+1,1)&amp;"-"&amp;$A656,"")</f>
        <v/>
      </c>
      <c r="G656" s="16">
        <f>IF($B656="PAGADO","PAGADO",IF($B656="APARTADO",IF(NOT(ISNUMBER($C656)),"APARTADO",IF($C656&lt;1,"APARTADO",IF(NOW()-$C656&gt;1,"LIBRE","APARTADO"))),"LIBRE"))</f>
        <v/>
      </c>
      <c r="H656" s="15">
        <f>IF($G656&lt;&gt;"APARTADO","",IF(NOT(ISNUMBER($C656)),"FALTA LA HORA",IF($C656&lt;1,"FALTA LA FECHA",TEXT($C656+1,"dd/mm hh:mm"))))</f>
        <v/>
      </c>
    </row>
    <row r="657">
      <c r="A657" s="13" t="inlineStr">
        <is>
          <t>655</t>
        </is>
      </c>
      <c r="B657" t="inlineStr">
        <is>
          <t>LIBRE</t>
        </is>
      </c>
      <c r="C657" s="14" t="n"/>
      <c r="E657" s="15">
        <f>IF($G657&lt;&gt;"PAGADO","",IFERROR(IF(VLOOKUP($A657,COMPRADORES!$A:$D,4,FALSE)="NO","Reservado",LEFT(VLOOKUP($A657,COMPRADORES!$A:$D,2,FALSE),3)&amp;"***"&amp;IF(TRIM(MID(VLOOKUP($A657,COMPRADORES!$A:$D,2,FALSE)&amp;" ",FIND(" ",VLOOKUP($A657,COMPRADORES!$A:$D,2,FALSE)&amp;" ")+1,99))="",""," "&amp;LEFT(TRIM(MID(VLOOKUP($A657,COMPRADORES!$A:$D,2,FALSE)&amp;" ",FIND(" ",VLOOKUP($A657,COMPRADORES!$A:$D,2,FALSE)&amp;" ")+1,99)),1)&amp;".")),""))</f>
        <v/>
      </c>
      <c r="F657" s="16">
        <f>IF($B657="PAGADO",MID("ABCDEFGHIJ",INT(VALUE($A657)/100)+1,1)&amp;"-"&amp;$A657,"")</f>
        <v/>
      </c>
      <c r="G657" s="16">
        <f>IF($B657="PAGADO","PAGADO",IF($B657="APARTADO",IF(NOT(ISNUMBER($C657)),"APARTADO",IF($C657&lt;1,"APARTADO",IF(NOW()-$C657&gt;1,"LIBRE","APARTADO"))),"LIBRE"))</f>
        <v/>
      </c>
      <c r="H657" s="15">
        <f>IF($G657&lt;&gt;"APARTADO","",IF(NOT(ISNUMBER($C657)),"FALTA LA HORA",IF($C657&lt;1,"FALTA LA FECHA",TEXT($C657+1,"dd/mm hh:mm"))))</f>
        <v/>
      </c>
    </row>
    <row r="658">
      <c r="A658" s="13" t="inlineStr">
        <is>
          <t>656</t>
        </is>
      </c>
      <c r="B658" t="inlineStr">
        <is>
          <t>LIBRE</t>
        </is>
      </c>
      <c r="C658" s="14" t="n"/>
      <c r="E658" s="15">
        <f>IF($G658&lt;&gt;"PAGADO","",IFERROR(IF(VLOOKUP($A658,COMPRADORES!$A:$D,4,FALSE)="NO","Reservado",LEFT(VLOOKUP($A658,COMPRADORES!$A:$D,2,FALSE),3)&amp;"***"&amp;IF(TRIM(MID(VLOOKUP($A658,COMPRADORES!$A:$D,2,FALSE)&amp;" ",FIND(" ",VLOOKUP($A658,COMPRADORES!$A:$D,2,FALSE)&amp;" ")+1,99))="",""," "&amp;LEFT(TRIM(MID(VLOOKUP($A658,COMPRADORES!$A:$D,2,FALSE)&amp;" ",FIND(" ",VLOOKUP($A658,COMPRADORES!$A:$D,2,FALSE)&amp;" ")+1,99)),1)&amp;".")),""))</f>
        <v/>
      </c>
      <c r="F658" s="16">
        <f>IF($B658="PAGADO",MID("ABCDEFGHIJ",INT(VALUE($A658)/100)+1,1)&amp;"-"&amp;$A658,"")</f>
        <v/>
      </c>
      <c r="G658" s="16">
        <f>IF($B658="PAGADO","PAGADO",IF($B658="APARTADO",IF(NOT(ISNUMBER($C658)),"APARTADO",IF($C658&lt;1,"APARTADO",IF(NOW()-$C658&gt;1,"LIBRE","APARTADO"))),"LIBRE"))</f>
        <v/>
      </c>
      <c r="H658" s="15">
        <f>IF($G658&lt;&gt;"APARTADO","",IF(NOT(ISNUMBER($C658)),"FALTA LA HORA",IF($C658&lt;1,"FALTA LA FECHA",TEXT($C658+1,"dd/mm hh:mm"))))</f>
        <v/>
      </c>
    </row>
    <row r="659">
      <c r="A659" s="13" t="inlineStr">
        <is>
          <t>657</t>
        </is>
      </c>
      <c r="B659" t="inlineStr">
        <is>
          <t>LIBRE</t>
        </is>
      </c>
      <c r="C659" s="14" t="n"/>
      <c r="E659" s="15">
        <f>IF($G659&lt;&gt;"PAGADO","",IFERROR(IF(VLOOKUP($A659,COMPRADORES!$A:$D,4,FALSE)="NO","Reservado",LEFT(VLOOKUP($A659,COMPRADORES!$A:$D,2,FALSE),3)&amp;"***"&amp;IF(TRIM(MID(VLOOKUP($A659,COMPRADORES!$A:$D,2,FALSE)&amp;" ",FIND(" ",VLOOKUP($A659,COMPRADORES!$A:$D,2,FALSE)&amp;" ")+1,99))="",""," "&amp;LEFT(TRIM(MID(VLOOKUP($A659,COMPRADORES!$A:$D,2,FALSE)&amp;" ",FIND(" ",VLOOKUP($A659,COMPRADORES!$A:$D,2,FALSE)&amp;" ")+1,99)),1)&amp;".")),""))</f>
        <v/>
      </c>
      <c r="F659" s="16">
        <f>IF($B659="PAGADO",MID("ABCDEFGHIJ",INT(VALUE($A659)/100)+1,1)&amp;"-"&amp;$A659,"")</f>
        <v/>
      </c>
      <c r="G659" s="16">
        <f>IF($B659="PAGADO","PAGADO",IF($B659="APARTADO",IF(NOT(ISNUMBER($C659)),"APARTADO",IF($C659&lt;1,"APARTADO",IF(NOW()-$C659&gt;1,"LIBRE","APARTADO"))),"LIBRE"))</f>
        <v/>
      </c>
      <c r="H659" s="15">
        <f>IF($G659&lt;&gt;"APARTADO","",IF(NOT(ISNUMBER($C659)),"FALTA LA HORA",IF($C659&lt;1,"FALTA LA FECHA",TEXT($C659+1,"dd/mm hh:mm"))))</f>
        <v/>
      </c>
    </row>
    <row r="660">
      <c r="A660" s="13" t="inlineStr">
        <is>
          <t>658</t>
        </is>
      </c>
      <c r="B660" t="inlineStr">
        <is>
          <t>LIBRE</t>
        </is>
      </c>
      <c r="C660" s="14" t="n"/>
      <c r="E660" s="15">
        <f>IF($G660&lt;&gt;"PAGADO","",IFERROR(IF(VLOOKUP($A660,COMPRADORES!$A:$D,4,FALSE)="NO","Reservado",LEFT(VLOOKUP($A660,COMPRADORES!$A:$D,2,FALSE),3)&amp;"***"&amp;IF(TRIM(MID(VLOOKUP($A660,COMPRADORES!$A:$D,2,FALSE)&amp;" ",FIND(" ",VLOOKUP($A660,COMPRADORES!$A:$D,2,FALSE)&amp;" ")+1,99))="",""," "&amp;LEFT(TRIM(MID(VLOOKUP($A660,COMPRADORES!$A:$D,2,FALSE)&amp;" ",FIND(" ",VLOOKUP($A660,COMPRADORES!$A:$D,2,FALSE)&amp;" ")+1,99)),1)&amp;".")),""))</f>
        <v/>
      </c>
      <c r="F660" s="16">
        <f>IF($B660="PAGADO",MID("ABCDEFGHIJ",INT(VALUE($A660)/100)+1,1)&amp;"-"&amp;$A660,"")</f>
        <v/>
      </c>
      <c r="G660" s="16">
        <f>IF($B660="PAGADO","PAGADO",IF($B660="APARTADO",IF(NOT(ISNUMBER($C660)),"APARTADO",IF($C660&lt;1,"APARTADO",IF(NOW()-$C660&gt;1,"LIBRE","APARTADO"))),"LIBRE"))</f>
        <v/>
      </c>
      <c r="H660" s="15">
        <f>IF($G660&lt;&gt;"APARTADO","",IF(NOT(ISNUMBER($C660)),"FALTA LA HORA",IF($C660&lt;1,"FALTA LA FECHA",TEXT($C660+1,"dd/mm hh:mm"))))</f>
        <v/>
      </c>
    </row>
    <row r="661">
      <c r="A661" s="13" t="inlineStr">
        <is>
          <t>659</t>
        </is>
      </c>
      <c r="B661" t="inlineStr">
        <is>
          <t>LIBRE</t>
        </is>
      </c>
      <c r="C661" s="14" t="n"/>
      <c r="E661" s="15">
        <f>IF($G661&lt;&gt;"PAGADO","",IFERROR(IF(VLOOKUP($A661,COMPRADORES!$A:$D,4,FALSE)="NO","Reservado",LEFT(VLOOKUP($A661,COMPRADORES!$A:$D,2,FALSE),3)&amp;"***"&amp;IF(TRIM(MID(VLOOKUP($A661,COMPRADORES!$A:$D,2,FALSE)&amp;" ",FIND(" ",VLOOKUP($A661,COMPRADORES!$A:$D,2,FALSE)&amp;" ")+1,99))="",""," "&amp;LEFT(TRIM(MID(VLOOKUP($A661,COMPRADORES!$A:$D,2,FALSE)&amp;" ",FIND(" ",VLOOKUP($A661,COMPRADORES!$A:$D,2,FALSE)&amp;" ")+1,99)),1)&amp;".")),""))</f>
        <v/>
      </c>
      <c r="F661" s="16">
        <f>IF($B661="PAGADO",MID("ABCDEFGHIJ",INT(VALUE($A661)/100)+1,1)&amp;"-"&amp;$A661,"")</f>
        <v/>
      </c>
      <c r="G661" s="16">
        <f>IF($B661="PAGADO","PAGADO",IF($B661="APARTADO",IF(NOT(ISNUMBER($C661)),"APARTADO",IF($C661&lt;1,"APARTADO",IF(NOW()-$C661&gt;1,"LIBRE","APARTADO"))),"LIBRE"))</f>
        <v/>
      </c>
      <c r="H661" s="15">
        <f>IF($G661&lt;&gt;"APARTADO","",IF(NOT(ISNUMBER($C661)),"FALTA LA HORA",IF($C661&lt;1,"FALTA LA FECHA",TEXT($C661+1,"dd/mm hh:mm"))))</f>
        <v/>
      </c>
    </row>
    <row r="662">
      <c r="A662" s="13" t="inlineStr">
        <is>
          <t>660</t>
        </is>
      </c>
      <c r="B662" t="inlineStr">
        <is>
          <t>LIBRE</t>
        </is>
      </c>
      <c r="C662" s="14" t="n"/>
      <c r="E662" s="15">
        <f>IF($G662&lt;&gt;"PAGADO","",IFERROR(IF(VLOOKUP($A662,COMPRADORES!$A:$D,4,FALSE)="NO","Reservado",LEFT(VLOOKUP($A662,COMPRADORES!$A:$D,2,FALSE),3)&amp;"***"&amp;IF(TRIM(MID(VLOOKUP($A662,COMPRADORES!$A:$D,2,FALSE)&amp;" ",FIND(" ",VLOOKUP($A662,COMPRADORES!$A:$D,2,FALSE)&amp;" ")+1,99))="",""," "&amp;LEFT(TRIM(MID(VLOOKUP($A662,COMPRADORES!$A:$D,2,FALSE)&amp;" ",FIND(" ",VLOOKUP($A662,COMPRADORES!$A:$D,2,FALSE)&amp;" ")+1,99)),1)&amp;".")),""))</f>
        <v/>
      </c>
      <c r="F662" s="16">
        <f>IF($B662="PAGADO",MID("ABCDEFGHIJ",INT(VALUE($A662)/100)+1,1)&amp;"-"&amp;$A662,"")</f>
        <v/>
      </c>
      <c r="G662" s="16">
        <f>IF($B662="PAGADO","PAGADO",IF($B662="APARTADO",IF(NOT(ISNUMBER($C662)),"APARTADO",IF($C662&lt;1,"APARTADO",IF(NOW()-$C662&gt;1,"LIBRE","APARTADO"))),"LIBRE"))</f>
        <v/>
      </c>
      <c r="H662" s="15">
        <f>IF($G662&lt;&gt;"APARTADO","",IF(NOT(ISNUMBER($C662)),"FALTA LA HORA",IF($C662&lt;1,"FALTA LA FECHA",TEXT($C662+1,"dd/mm hh:mm"))))</f>
        <v/>
      </c>
    </row>
    <row r="663">
      <c r="A663" s="13" t="inlineStr">
        <is>
          <t>661</t>
        </is>
      </c>
      <c r="B663" t="inlineStr">
        <is>
          <t>LIBRE</t>
        </is>
      </c>
      <c r="C663" s="14" t="n"/>
      <c r="E663" s="15">
        <f>IF($G663&lt;&gt;"PAGADO","",IFERROR(IF(VLOOKUP($A663,COMPRADORES!$A:$D,4,FALSE)="NO","Reservado",LEFT(VLOOKUP($A663,COMPRADORES!$A:$D,2,FALSE),3)&amp;"***"&amp;IF(TRIM(MID(VLOOKUP($A663,COMPRADORES!$A:$D,2,FALSE)&amp;" ",FIND(" ",VLOOKUP($A663,COMPRADORES!$A:$D,2,FALSE)&amp;" ")+1,99))="",""," "&amp;LEFT(TRIM(MID(VLOOKUP($A663,COMPRADORES!$A:$D,2,FALSE)&amp;" ",FIND(" ",VLOOKUP($A663,COMPRADORES!$A:$D,2,FALSE)&amp;" ")+1,99)),1)&amp;".")),""))</f>
        <v/>
      </c>
      <c r="F663" s="16">
        <f>IF($B663="PAGADO",MID("ABCDEFGHIJ",INT(VALUE($A663)/100)+1,1)&amp;"-"&amp;$A663,"")</f>
        <v/>
      </c>
      <c r="G663" s="16">
        <f>IF($B663="PAGADO","PAGADO",IF($B663="APARTADO",IF(NOT(ISNUMBER($C663)),"APARTADO",IF($C663&lt;1,"APARTADO",IF(NOW()-$C663&gt;1,"LIBRE","APARTADO"))),"LIBRE"))</f>
        <v/>
      </c>
      <c r="H663" s="15">
        <f>IF($G663&lt;&gt;"APARTADO","",IF(NOT(ISNUMBER($C663)),"FALTA LA HORA",IF($C663&lt;1,"FALTA LA FECHA",TEXT($C663+1,"dd/mm hh:mm"))))</f>
        <v/>
      </c>
    </row>
    <row r="664">
      <c r="A664" s="13" t="inlineStr">
        <is>
          <t>662</t>
        </is>
      </c>
      <c r="B664" t="inlineStr">
        <is>
          <t>LIBRE</t>
        </is>
      </c>
      <c r="C664" s="14" t="n"/>
      <c r="E664" s="15">
        <f>IF($G664&lt;&gt;"PAGADO","",IFERROR(IF(VLOOKUP($A664,COMPRADORES!$A:$D,4,FALSE)="NO","Reservado",LEFT(VLOOKUP($A664,COMPRADORES!$A:$D,2,FALSE),3)&amp;"***"&amp;IF(TRIM(MID(VLOOKUP($A664,COMPRADORES!$A:$D,2,FALSE)&amp;" ",FIND(" ",VLOOKUP($A664,COMPRADORES!$A:$D,2,FALSE)&amp;" ")+1,99))="",""," "&amp;LEFT(TRIM(MID(VLOOKUP($A664,COMPRADORES!$A:$D,2,FALSE)&amp;" ",FIND(" ",VLOOKUP($A664,COMPRADORES!$A:$D,2,FALSE)&amp;" ")+1,99)),1)&amp;".")),""))</f>
        <v/>
      </c>
      <c r="F664" s="16">
        <f>IF($B664="PAGADO",MID("ABCDEFGHIJ",INT(VALUE($A664)/100)+1,1)&amp;"-"&amp;$A664,"")</f>
        <v/>
      </c>
      <c r="G664" s="16">
        <f>IF($B664="PAGADO","PAGADO",IF($B664="APARTADO",IF(NOT(ISNUMBER($C664)),"APARTADO",IF($C664&lt;1,"APARTADO",IF(NOW()-$C664&gt;1,"LIBRE","APARTADO"))),"LIBRE"))</f>
        <v/>
      </c>
      <c r="H664" s="15">
        <f>IF($G664&lt;&gt;"APARTADO","",IF(NOT(ISNUMBER($C664)),"FALTA LA HORA",IF($C664&lt;1,"FALTA LA FECHA",TEXT($C664+1,"dd/mm hh:mm"))))</f>
        <v/>
      </c>
    </row>
    <row r="665">
      <c r="A665" s="13" t="inlineStr">
        <is>
          <t>663</t>
        </is>
      </c>
      <c r="B665" t="inlineStr">
        <is>
          <t>LIBRE</t>
        </is>
      </c>
      <c r="C665" s="14" t="n"/>
      <c r="E665" s="15">
        <f>IF($G665&lt;&gt;"PAGADO","",IFERROR(IF(VLOOKUP($A665,COMPRADORES!$A:$D,4,FALSE)="NO","Reservado",LEFT(VLOOKUP($A665,COMPRADORES!$A:$D,2,FALSE),3)&amp;"***"&amp;IF(TRIM(MID(VLOOKUP($A665,COMPRADORES!$A:$D,2,FALSE)&amp;" ",FIND(" ",VLOOKUP($A665,COMPRADORES!$A:$D,2,FALSE)&amp;" ")+1,99))="",""," "&amp;LEFT(TRIM(MID(VLOOKUP($A665,COMPRADORES!$A:$D,2,FALSE)&amp;" ",FIND(" ",VLOOKUP($A665,COMPRADORES!$A:$D,2,FALSE)&amp;" ")+1,99)),1)&amp;".")),""))</f>
        <v/>
      </c>
      <c r="F665" s="16">
        <f>IF($B665="PAGADO",MID("ABCDEFGHIJ",INT(VALUE($A665)/100)+1,1)&amp;"-"&amp;$A665,"")</f>
        <v/>
      </c>
      <c r="G665" s="16">
        <f>IF($B665="PAGADO","PAGADO",IF($B665="APARTADO",IF(NOT(ISNUMBER($C665)),"APARTADO",IF($C665&lt;1,"APARTADO",IF(NOW()-$C665&gt;1,"LIBRE","APARTADO"))),"LIBRE"))</f>
        <v/>
      </c>
      <c r="H665" s="15">
        <f>IF($G665&lt;&gt;"APARTADO","",IF(NOT(ISNUMBER($C665)),"FALTA LA HORA",IF($C665&lt;1,"FALTA LA FECHA",TEXT($C665+1,"dd/mm hh:mm"))))</f>
        <v/>
      </c>
    </row>
    <row r="666">
      <c r="A666" s="13" t="inlineStr">
        <is>
          <t>664</t>
        </is>
      </c>
      <c r="B666" t="inlineStr">
        <is>
          <t>LIBRE</t>
        </is>
      </c>
      <c r="C666" s="14" t="n"/>
      <c r="E666" s="15">
        <f>IF($G666&lt;&gt;"PAGADO","",IFERROR(IF(VLOOKUP($A666,COMPRADORES!$A:$D,4,FALSE)="NO","Reservado",LEFT(VLOOKUP($A666,COMPRADORES!$A:$D,2,FALSE),3)&amp;"***"&amp;IF(TRIM(MID(VLOOKUP($A666,COMPRADORES!$A:$D,2,FALSE)&amp;" ",FIND(" ",VLOOKUP($A666,COMPRADORES!$A:$D,2,FALSE)&amp;" ")+1,99))="",""," "&amp;LEFT(TRIM(MID(VLOOKUP($A666,COMPRADORES!$A:$D,2,FALSE)&amp;" ",FIND(" ",VLOOKUP($A666,COMPRADORES!$A:$D,2,FALSE)&amp;" ")+1,99)),1)&amp;".")),""))</f>
        <v/>
      </c>
      <c r="F666" s="16">
        <f>IF($B666="PAGADO",MID("ABCDEFGHIJ",INT(VALUE($A666)/100)+1,1)&amp;"-"&amp;$A666,"")</f>
        <v/>
      </c>
      <c r="G666" s="16">
        <f>IF($B666="PAGADO","PAGADO",IF($B666="APARTADO",IF(NOT(ISNUMBER($C666)),"APARTADO",IF($C666&lt;1,"APARTADO",IF(NOW()-$C666&gt;1,"LIBRE","APARTADO"))),"LIBRE"))</f>
        <v/>
      </c>
      <c r="H666" s="15">
        <f>IF($G666&lt;&gt;"APARTADO","",IF(NOT(ISNUMBER($C666)),"FALTA LA HORA",IF($C666&lt;1,"FALTA LA FECHA",TEXT($C666+1,"dd/mm hh:mm"))))</f>
        <v/>
      </c>
    </row>
    <row r="667">
      <c r="A667" s="13" t="inlineStr">
        <is>
          <t>665</t>
        </is>
      </c>
      <c r="B667" t="inlineStr">
        <is>
          <t>LIBRE</t>
        </is>
      </c>
      <c r="C667" s="14" t="n"/>
      <c r="E667" s="15">
        <f>IF($G667&lt;&gt;"PAGADO","",IFERROR(IF(VLOOKUP($A667,COMPRADORES!$A:$D,4,FALSE)="NO","Reservado",LEFT(VLOOKUP($A667,COMPRADORES!$A:$D,2,FALSE),3)&amp;"***"&amp;IF(TRIM(MID(VLOOKUP($A667,COMPRADORES!$A:$D,2,FALSE)&amp;" ",FIND(" ",VLOOKUP($A667,COMPRADORES!$A:$D,2,FALSE)&amp;" ")+1,99))="",""," "&amp;LEFT(TRIM(MID(VLOOKUP($A667,COMPRADORES!$A:$D,2,FALSE)&amp;" ",FIND(" ",VLOOKUP($A667,COMPRADORES!$A:$D,2,FALSE)&amp;" ")+1,99)),1)&amp;".")),""))</f>
        <v/>
      </c>
      <c r="F667" s="16">
        <f>IF($B667="PAGADO",MID("ABCDEFGHIJ",INT(VALUE($A667)/100)+1,1)&amp;"-"&amp;$A667,"")</f>
        <v/>
      </c>
      <c r="G667" s="16">
        <f>IF($B667="PAGADO","PAGADO",IF($B667="APARTADO",IF(NOT(ISNUMBER($C667)),"APARTADO",IF($C667&lt;1,"APARTADO",IF(NOW()-$C667&gt;1,"LIBRE","APARTADO"))),"LIBRE"))</f>
        <v/>
      </c>
      <c r="H667" s="15">
        <f>IF($G667&lt;&gt;"APARTADO","",IF(NOT(ISNUMBER($C667)),"FALTA LA HORA",IF($C667&lt;1,"FALTA LA FECHA",TEXT($C667+1,"dd/mm hh:mm"))))</f>
        <v/>
      </c>
    </row>
    <row r="668">
      <c r="A668" s="13" t="inlineStr">
        <is>
          <t>666</t>
        </is>
      </c>
      <c r="B668" t="inlineStr">
        <is>
          <t>LIBRE</t>
        </is>
      </c>
      <c r="C668" s="14" t="n"/>
      <c r="E668" s="15">
        <f>IF($G668&lt;&gt;"PAGADO","",IFERROR(IF(VLOOKUP($A668,COMPRADORES!$A:$D,4,FALSE)="NO","Reservado",LEFT(VLOOKUP($A668,COMPRADORES!$A:$D,2,FALSE),3)&amp;"***"&amp;IF(TRIM(MID(VLOOKUP($A668,COMPRADORES!$A:$D,2,FALSE)&amp;" ",FIND(" ",VLOOKUP($A668,COMPRADORES!$A:$D,2,FALSE)&amp;" ")+1,99))="",""," "&amp;LEFT(TRIM(MID(VLOOKUP($A668,COMPRADORES!$A:$D,2,FALSE)&amp;" ",FIND(" ",VLOOKUP($A668,COMPRADORES!$A:$D,2,FALSE)&amp;" ")+1,99)),1)&amp;".")),""))</f>
        <v/>
      </c>
      <c r="F668" s="16">
        <f>IF($B668="PAGADO",MID("ABCDEFGHIJ",INT(VALUE($A668)/100)+1,1)&amp;"-"&amp;$A668,"")</f>
        <v/>
      </c>
      <c r="G668" s="16">
        <f>IF($B668="PAGADO","PAGADO",IF($B668="APARTADO",IF(NOT(ISNUMBER($C668)),"APARTADO",IF($C668&lt;1,"APARTADO",IF(NOW()-$C668&gt;1,"LIBRE","APARTADO"))),"LIBRE"))</f>
        <v/>
      </c>
      <c r="H668" s="15">
        <f>IF($G668&lt;&gt;"APARTADO","",IF(NOT(ISNUMBER($C668)),"FALTA LA HORA",IF($C668&lt;1,"FALTA LA FECHA",TEXT($C668+1,"dd/mm hh:mm"))))</f>
        <v/>
      </c>
    </row>
    <row r="669">
      <c r="A669" s="13" t="inlineStr">
        <is>
          <t>667</t>
        </is>
      </c>
      <c r="B669" t="inlineStr">
        <is>
          <t>LIBRE</t>
        </is>
      </c>
      <c r="C669" s="14" t="n"/>
      <c r="E669" s="15">
        <f>IF($G669&lt;&gt;"PAGADO","",IFERROR(IF(VLOOKUP($A669,COMPRADORES!$A:$D,4,FALSE)="NO","Reservado",LEFT(VLOOKUP($A669,COMPRADORES!$A:$D,2,FALSE),3)&amp;"***"&amp;IF(TRIM(MID(VLOOKUP($A669,COMPRADORES!$A:$D,2,FALSE)&amp;" ",FIND(" ",VLOOKUP($A669,COMPRADORES!$A:$D,2,FALSE)&amp;" ")+1,99))="",""," "&amp;LEFT(TRIM(MID(VLOOKUP($A669,COMPRADORES!$A:$D,2,FALSE)&amp;" ",FIND(" ",VLOOKUP($A669,COMPRADORES!$A:$D,2,FALSE)&amp;" ")+1,99)),1)&amp;".")),""))</f>
        <v/>
      </c>
      <c r="F669" s="16">
        <f>IF($B669="PAGADO",MID("ABCDEFGHIJ",INT(VALUE($A669)/100)+1,1)&amp;"-"&amp;$A669,"")</f>
        <v/>
      </c>
      <c r="G669" s="16">
        <f>IF($B669="PAGADO","PAGADO",IF($B669="APARTADO",IF(NOT(ISNUMBER($C669)),"APARTADO",IF($C669&lt;1,"APARTADO",IF(NOW()-$C669&gt;1,"LIBRE","APARTADO"))),"LIBRE"))</f>
        <v/>
      </c>
      <c r="H669" s="15">
        <f>IF($G669&lt;&gt;"APARTADO","",IF(NOT(ISNUMBER($C669)),"FALTA LA HORA",IF($C669&lt;1,"FALTA LA FECHA",TEXT($C669+1,"dd/mm hh:mm"))))</f>
        <v/>
      </c>
    </row>
    <row r="670">
      <c r="A670" s="13" t="inlineStr">
        <is>
          <t>668</t>
        </is>
      </c>
      <c r="B670" t="inlineStr">
        <is>
          <t>LIBRE</t>
        </is>
      </c>
      <c r="C670" s="14" t="n"/>
      <c r="E670" s="15">
        <f>IF($G670&lt;&gt;"PAGADO","",IFERROR(IF(VLOOKUP($A670,COMPRADORES!$A:$D,4,FALSE)="NO","Reservado",LEFT(VLOOKUP($A670,COMPRADORES!$A:$D,2,FALSE),3)&amp;"***"&amp;IF(TRIM(MID(VLOOKUP($A670,COMPRADORES!$A:$D,2,FALSE)&amp;" ",FIND(" ",VLOOKUP($A670,COMPRADORES!$A:$D,2,FALSE)&amp;" ")+1,99))="",""," "&amp;LEFT(TRIM(MID(VLOOKUP($A670,COMPRADORES!$A:$D,2,FALSE)&amp;" ",FIND(" ",VLOOKUP($A670,COMPRADORES!$A:$D,2,FALSE)&amp;" ")+1,99)),1)&amp;".")),""))</f>
        <v/>
      </c>
      <c r="F670" s="16">
        <f>IF($B670="PAGADO",MID("ABCDEFGHIJ",INT(VALUE($A670)/100)+1,1)&amp;"-"&amp;$A670,"")</f>
        <v/>
      </c>
      <c r="G670" s="16">
        <f>IF($B670="PAGADO","PAGADO",IF($B670="APARTADO",IF(NOT(ISNUMBER($C670)),"APARTADO",IF($C670&lt;1,"APARTADO",IF(NOW()-$C670&gt;1,"LIBRE","APARTADO"))),"LIBRE"))</f>
        <v/>
      </c>
      <c r="H670" s="15">
        <f>IF($G670&lt;&gt;"APARTADO","",IF(NOT(ISNUMBER($C670)),"FALTA LA HORA",IF($C670&lt;1,"FALTA LA FECHA",TEXT($C670+1,"dd/mm hh:mm"))))</f>
        <v/>
      </c>
    </row>
    <row r="671">
      <c r="A671" s="13" t="inlineStr">
        <is>
          <t>669</t>
        </is>
      </c>
      <c r="B671" t="inlineStr">
        <is>
          <t>LIBRE</t>
        </is>
      </c>
      <c r="C671" s="14" t="n"/>
      <c r="E671" s="15">
        <f>IF($G671&lt;&gt;"PAGADO","",IFERROR(IF(VLOOKUP($A671,COMPRADORES!$A:$D,4,FALSE)="NO","Reservado",LEFT(VLOOKUP($A671,COMPRADORES!$A:$D,2,FALSE),3)&amp;"***"&amp;IF(TRIM(MID(VLOOKUP($A671,COMPRADORES!$A:$D,2,FALSE)&amp;" ",FIND(" ",VLOOKUP($A671,COMPRADORES!$A:$D,2,FALSE)&amp;" ")+1,99))="",""," "&amp;LEFT(TRIM(MID(VLOOKUP($A671,COMPRADORES!$A:$D,2,FALSE)&amp;" ",FIND(" ",VLOOKUP($A671,COMPRADORES!$A:$D,2,FALSE)&amp;" ")+1,99)),1)&amp;".")),""))</f>
        <v/>
      </c>
      <c r="F671" s="16">
        <f>IF($B671="PAGADO",MID("ABCDEFGHIJ",INT(VALUE($A671)/100)+1,1)&amp;"-"&amp;$A671,"")</f>
        <v/>
      </c>
      <c r="G671" s="16">
        <f>IF($B671="PAGADO","PAGADO",IF($B671="APARTADO",IF(NOT(ISNUMBER($C671)),"APARTADO",IF($C671&lt;1,"APARTADO",IF(NOW()-$C671&gt;1,"LIBRE","APARTADO"))),"LIBRE"))</f>
        <v/>
      </c>
      <c r="H671" s="15">
        <f>IF($G671&lt;&gt;"APARTADO","",IF(NOT(ISNUMBER($C671)),"FALTA LA HORA",IF($C671&lt;1,"FALTA LA FECHA",TEXT($C671+1,"dd/mm hh:mm"))))</f>
        <v/>
      </c>
    </row>
    <row r="672">
      <c r="A672" s="13" t="inlineStr">
        <is>
          <t>670</t>
        </is>
      </c>
      <c r="B672" t="inlineStr">
        <is>
          <t>LIBRE</t>
        </is>
      </c>
      <c r="C672" s="14" t="n"/>
      <c r="E672" s="15">
        <f>IF($G672&lt;&gt;"PAGADO","",IFERROR(IF(VLOOKUP($A672,COMPRADORES!$A:$D,4,FALSE)="NO","Reservado",LEFT(VLOOKUP($A672,COMPRADORES!$A:$D,2,FALSE),3)&amp;"***"&amp;IF(TRIM(MID(VLOOKUP($A672,COMPRADORES!$A:$D,2,FALSE)&amp;" ",FIND(" ",VLOOKUP($A672,COMPRADORES!$A:$D,2,FALSE)&amp;" ")+1,99))="",""," "&amp;LEFT(TRIM(MID(VLOOKUP($A672,COMPRADORES!$A:$D,2,FALSE)&amp;" ",FIND(" ",VLOOKUP($A672,COMPRADORES!$A:$D,2,FALSE)&amp;" ")+1,99)),1)&amp;".")),""))</f>
        <v/>
      </c>
      <c r="F672" s="16">
        <f>IF($B672="PAGADO",MID("ABCDEFGHIJ",INT(VALUE($A672)/100)+1,1)&amp;"-"&amp;$A672,"")</f>
        <v/>
      </c>
      <c r="G672" s="16">
        <f>IF($B672="PAGADO","PAGADO",IF($B672="APARTADO",IF(NOT(ISNUMBER($C672)),"APARTADO",IF($C672&lt;1,"APARTADO",IF(NOW()-$C672&gt;1,"LIBRE","APARTADO"))),"LIBRE"))</f>
        <v/>
      </c>
      <c r="H672" s="15">
        <f>IF($G672&lt;&gt;"APARTADO","",IF(NOT(ISNUMBER($C672)),"FALTA LA HORA",IF($C672&lt;1,"FALTA LA FECHA",TEXT($C672+1,"dd/mm hh:mm"))))</f>
        <v/>
      </c>
    </row>
    <row r="673">
      <c r="A673" s="13" t="inlineStr">
        <is>
          <t>671</t>
        </is>
      </c>
      <c r="B673" t="inlineStr">
        <is>
          <t>LIBRE</t>
        </is>
      </c>
      <c r="C673" s="14" t="n"/>
      <c r="E673" s="15">
        <f>IF($G673&lt;&gt;"PAGADO","",IFERROR(IF(VLOOKUP($A673,COMPRADORES!$A:$D,4,FALSE)="NO","Reservado",LEFT(VLOOKUP($A673,COMPRADORES!$A:$D,2,FALSE),3)&amp;"***"&amp;IF(TRIM(MID(VLOOKUP($A673,COMPRADORES!$A:$D,2,FALSE)&amp;" ",FIND(" ",VLOOKUP($A673,COMPRADORES!$A:$D,2,FALSE)&amp;" ")+1,99))="",""," "&amp;LEFT(TRIM(MID(VLOOKUP($A673,COMPRADORES!$A:$D,2,FALSE)&amp;" ",FIND(" ",VLOOKUP($A673,COMPRADORES!$A:$D,2,FALSE)&amp;" ")+1,99)),1)&amp;".")),""))</f>
        <v/>
      </c>
      <c r="F673" s="16">
        <f>IF($B673="PAGADO",MID("ABCDEFGHIJ",INT(VALUE($A673)/100)+1,1)&amp;"-"&amp;$A673,"")</f>
        <v/>
      </c>
      <c r="G673" s="16">
        <f>IF($B673="PAGADO","PAGADO",IF($B673="APARTADO",IF(NOT(ISNUMBER($C673)),"APARTADO",IF($C673&lt;1,"APARTADO",IF(NOW()-$C673&gt;1,"LIBRE","APARTADO"))),"LIBRE"))</f>
        <v/>
      </c>
      <c r="H673" s="15">
        <f>IF($G673&lt;&gt;"APARTADO","",IF(NOT(ISNUMBER($C673)),"FALTA LA HORA",IF($C673&lt;1,"FALTA LA FECHA",TEXT($C673+1,"dd/mm hh:mm"))))</f>
        <v/>
      </c>
    </row>
    <row r="674">
      <c r="A674" s="13" t="inlineStr">
        <is>
          <t>672</t>
        </is>
      </c>
      <c r="B674" t="inlineStr">
        <is>
          <t>LIBRE</t>
        </is>
      </c>
      <c r="C674" s="14" t="n"/>
      <c r="E674" s="15">
        <f>IF($G674&lt;&gt;"PAGADO","",IFERROR(IF(VLOOKUP($A674,COMPRADORES!$A:$D,4,FALSE)="NO","Reservado",LEFT(VLOOKUP($A674,COMPRADORES!$A:$D,2,FALSE),3)&amp;"***"&amp;IF(TRIM(MID(VLOOKUP($A674,COMPRADORES!$A:$D,2,FALSE)&amp;" ",FIND(" ",VLOOKUP($A674,COMPRADORES!$A:$D,2,FALSE)&amp;" ")+1,99))="",""," "&amp;LEFT(TRIM(MID(VLOOKUP($A674,COMPRADORES!$A:$D,2,FALSE)&amp;" ",FIND(" ",VLOOKUP($A674,COMPRADORES!$A:$D,2,FALSE)&amp;" ")+1,99)),1)&amp;".")),""))</f>
        <v/>
      </c>
      <c r="F674" s="16">
        <f>IF($B674="PAGADO",MID("ABCDEFGHIJ",INT(VALUE($A674)/100)+1,1)&amp;"-"&amp;$A674,"")</f>
        <v/>
      </c>
      <c r="G674" s="16">
        <f>IF($B674="PAGADO","PAGADO",IF($B674="APARTADO",IF(NOT(ISNUMBER($C674)),"APARTADO",IF($C674&lt;1,"APARTADO",IF(NOW()-$C674&gt;1,"LIBRE","APARTADO"))),"LIBRE"))</f>
        <v/>
      </c>
      <c r="H674" s="15">
        <f>IF($G674&lt;&gt;"APARTADO","",IF(NOT(ISNUMBER($C674)),"FALTA LA HORA",IF($C674&lt;1,"FALTA LA FECHA",TEXT($C674+1,"dd/mm hh:mm"))))</f>
        <v/>
      </c>
    </row>
    <row r="675">
      <c r="A675" s="13" t="inlineStr">
        <is>
          <t>673</t>
        </is>
      </c>
      <c r="B675" t="inlineStr">
        <is>
          <t>LIBRE</t>
        </is>
      </c>
      <c r="C675" s="14" t="n"/>
      <c r="E675" s="15">
        <f>IF($G675&lt;&gt;"PAGADO","",IFERROR(IF(VLOOKUP($A675,COMPRADORES!$A:$D,4,FALSE)="NO","Reservado",LEFT(VLOOKUP($A675,COMPRADORES!$A:$D,2,FALSE),3)&amp;"***"&amp;IF(TRIM(MID(VLOOKUP($A675,COMPRADORES!$A:$D,2,FALSE)&amp;" ",FIND(" ",VLOOKUP($A675,COMPRADORES!$A:$D,2,FALSE)&amp;" ")+1,99))="",""," "&amp;LEFT(TRIM(MID(VLOOKUP($A675,COMPRADORES!$A:$D,2,FALSE)&amp;" ",FIND(" ",VLOOKUP($A675,COMPRADORES!$A:$D,2,FALSE)&amp;" ")+1,99)),1)&amp;".")),""))</f>
        <v/>
      </c>
      <c r="F675" s="16">
        <f>IF($B675="PAGADO",MID("ABCDEFGHIJ",INT(VALUE($A675)/100)+1,1)&amp;"-"&amp;$A675,"")</f>
        <v/>
      </c>
      <c r="G675" s="16">
        <f>IF($B675="PAGADO","PAGADO",IF($B675="APARTADO",IF(NOT(ISNUMBER($C675)),"APARTADO",IF($C675&lt;1,"APARTADO",IF(NOW()-$C675&gt;1,"LIBRE","APARTADO"))),"LIBRE"))</f>
        <v/>
      </c>
      <c r="H675" s="15">
        <f>IF($G675&lt;&gt;"APARTADO","",IF(NOT(ISNUMBER($C675)),"FALTA LA HORA",IF($C675&lt;1,"FALTA LA FECHA",TEXT($C675+1,"dd/mm hh:mm"))))</f>
        <v/>
      </c>
    </row>
    <row r="676">
      <c r="A676" s="13" t="inlineStr">
        <is>
          <t>674</t>
        </is>
      </c>
      <c r="B676" t="inlineStr">
        <is>
          <t>LIBRE</t>
        </is>
      </c>
      <c r="C676" s="14" t="n"/>
      <c r="E676" s="15">
        <f>IF($G676&lt;&gt;"PAGADO","",IFERROR(IF(VLOOKUP($A676,COMPRADORES!$A:$D,4,FALSE)="NO","Reservado",LEFT(VLOOKUP($A676,COMPRADORES!$A:$D,2,FALSE),3)&amp;"***"&amp;IF(TRIM(MID(VLOOKUP($A676,COMPRADORES!$A:$D,2,FALSE)&amp;" ",FIND(" ",VLOOKUP($A676,COMPRADORES!$A:$D,2,FALSE)&amp;" ")+1,99))="",""," "&amp;LEFT(TRIM(MID(VLOOKUP($A676,COMPRADORES!$A:$D,2,FALSE)&amp;" ",FIND(" ",VLOOKUP($A676,COMPRADORES!$A:$D,2,FALSE)&amp;" ")+1,99)),1)&amp;".")),""))</f>
        <v/>
      </c>
      <c r="F676" s="16">
        <f>IF($B676="PAGADO",MID("ABCDEFGHIJ",INT(VALUE($A676)/100)+1,1)&amp;"-"&amp;$A676,"")</f>
        <v/>
      </c>
      <c r="G676" s="16">
        <f>IF($B676="PAGADO","PAGADO",IF($B676="APARTADO",IF(NOT(ISNUMBER($C676)),"APARTADO",IF($C676&lt;1,"APARTADO",IF(NOW()-$C676&gt;1,"LIBRE","APARTADO"))),"LIBRE"))</f>
        <v/>
      </c>
      <c r="H676" s="15">
        <f>IF($G676&lt;&gt;"APARTADO","",IF(NOT(ISNUMBER($C676)),"FALTA LA HORA",IF($C676&lt;1,"FALTA LA FECHA",TEXT($C676+1,"dd/mm hh:mm"))))</f>
        <v/>
      </c>
    </row>
    <row r="677">
      <c r="A677" s="13" t="inlineStr">
        <is>
          <t>675</t>
        </is>
      </c>
      <c r="B677" t="inlineStr">
        <is>
          <t>LIBRE</t>
        </is>
      </c>
      <c r="C677" s="14" t="n"/>
      <c r="E677" s="15">
        <f>IF($G677&lt;&gt;"PAGADO","",IFERROR(IF(VLOOKUP($A677,COMPRADORES!$A:$D,4,FALSE)="NO","Reservado",LEFT(VLOOKUP($A677,COMPRADORES!$A:$D,2,FALSE),3)&amp;"***"&amp;IF(TRIM(MID(VLOOKUP($A677,COMPRADORES!$A:$D,2,FALSE)&amp;" ",FIND(" ",VLOOKUP($A677,COMPRADORES!$A:$D,2,FALSE)&amp;" ")+1,99))="",""," "&amp;LEFT(TRIM(MID(VLOOKUP($A677,COMPRADORES!$A:$D,2,FALSE)&amp;" ",FIND(" ",VLOOKUP($A677,COMPRADORES!$A:$D,2,FALSE)&amp;" ")+1,99)),1)&amp;".")),""))</f>
        <v/>
      </c>
      <c r="F677" s="16">
        <f>IF($B677="PAGADO",MID("ABCDEFGHIJ",INT(VALUE($A677)/100)+1,1)&amp;"-"&amp;$A677,"")</f>
        <v/>
      </c>
      <c r="G677" s="16">
        <f>IF($B677="PAGADO","PAGADO",IF($B677="APARTADO",IF(NOT(ISNUMBER($C677)),"APARTADO",IF($C677&lt;1,"APARTADO",IF(NOW()-$C677&gt;1,"LIBRE","APARTADO"))),"LIBRE"))</f>
        <v/>
      </c>
      <c r="H677" s="15">
        <f>IF($G677&lt;&gt;"APARTADO","",IF(NOT(ISNUMBER($C677)),"FALTA LA HORA",IF($C677&lt;1,"FALTA LA FECHA",TEXT($C677+1,"dd/mm hh:mm"))))</f>
        <v/>
      </c>
    </row>
    <row r="678">
      <c r="A678" s="13" t="inlineStr">
        <is>
          <t>676</t>
        </is>
      </c>
      <c r="B678" t="inlineStr">
        <is>
          <t>LIBRE</t>
        </is>
      </c>
      <c r="C678" s="14" t="n"/>
      <c r="E678" s="15">
        <f>IF($G678&lt;&gt;"PAGADO","",IFERROR(IF(VLOOKUP($A678,COMPRADORES!$A:$D,4,FALSE)="NO","Reservado",LEFT(VLOOKUP($A678,COMPRADORES!$A:$D,2,FALSE),3)&amp;"***"&amp;IF(TRIM(MID(VLOOKUP($A678,COMPRADORES!$A:$D,2,FALSE)&amp;" ",FIND(" ",VLOOKUP($A678,COMPRADORES!$A:$D,2,FALSE)&amp;" ")+1,99))="",""," "&amp;LEFT(TRIM(MID(VLOOKUP($A678,COMPRADORES!$A:$D,2,FALSE)&amp;" ",FIND(" ",VLOOKUP($A678,COMPRADORES!$A:$D,2,FALSE)&amp;" ")+1,99)),1)&amp;".")),""))</f>
        <v/>
      </c>
      <c r="F678" s="16">
        <f>IF($B678="PAGADO",MID("ABCDEFGHIJ",INT(VALUE($A678)/100)+1,1)&amp;"-"&amp;$A678,"")</f>
        <v/>
      </c>
      <c r="G678" s="16">
        <f>IF($B678="PAGADO","PAGADO",IF($B678="APARTADO",IF(NOT(ISNUMBER($C678)),"APARTADO",IF($C678&lt;1,"APARTADO",IF(NOW()-$C678&gt;1,"LIBRE","APARTADO"))),"LIBRE"))</f>
        <v/>
      </c>
      <c r="H678" s="15">
        <f>IF($G678&lt;&gt;"APARTADO","",IF(NOT(ISNUMBER($C678)),"FALTA LA HORA",IF($C678&lt;1,"FALTA LA FECHA",TEXT($C678+1,"dd/mm hh:mm"))))</f>
        <v/>
      </c>
    </row>
    <row r="679">
      <c r="A679" s="13" t="inlineStr">
        <is>
          <t>677</t>
        </is>
      </c>
      <c r="B679" t="inlineStr">
        <is>
          <t>LIBRE</t>
        </is>
      </c>
      <c r="C679" s="14" t="n"/>
      <c r="E679" s="15">
        <f>IF($G679&lt;&gt;"PAGADO","",IFERROR(IF(VLOOKUP($A679,COMPRADORES!$A:$D,4,FALSE)="NO","Reservado",LEFT(VLOOKUP($A679,COMPRADORES!$A:$D,2,FALSE),3)&amp;"***"&amp;IF(TRIM(MID(VLOOKUP($A679,COMPRADORES!$A:$D,2,FALSE)&amp;" ",FIND(" ",VLOOKUP($A679,COMPRADORES!$A:$D,2,FALSE)&amp;" ")+1,99))="",""," "&amp;LEFT(TRIM(MID(VLOOKUP($A679,COMPRADORES!$A:$D,2,FALSE)&amp;" ",FIND(" ",VLOOKUP($A679,COMPRADORES!$A:$D,2,FALSE)&amp;" ")+1,99)),1)&amp;".")),""))</f>
        <v/>
      </c>
      <c r="F679" s="16">
        <f>IF($B679="PAGADO",MID("ABCDEFGHIJ",INT(VALUE($A679)/100)+1,1)&amp;"-"&amp;$A679,"")</f>
        <v/>
      </c>
      <c r="G679" s="16">
        <f>IF($B679="PAGADO","PAGADO",IF($B679="APARTADO",IF(NOT(ISNUMBER($C679)),"APARTADO",IF($C679&lt;1,"APARTADO",IF(NOW()-$C679&gt;1,"LIBRE","APARTADO"))),"LIBRE"))</f>
        <v/>
      </c>
      <c r="H679" s="15">
        <f>IF($G679&lt;&gt;"APARTADO","",IF(NOT(ISNUMBER($C679)),"FALTA LA HORA",IF($C679&lt;1,"FALTA LA FECHA",TEXT($C679+1,"dd/mm hh:mm"))))</f>
        <v/>
      </c>
    </row>
    <row r="680">
      <c r="A680" s="13" t="inlineStr">
        <is>
          <t>678</t>
        </is>
      </c>
      <c r="B680" t="inlineStr">
        <is>
          <t>LIBRE</t>
        </is>
      </c>
      <c r="C680" s="14" t="n"/>
      <c r="E680" s="15">
        <f>IF($G680&lt;&gt;"PAGADO","",IFERROR(IF(VLOOKUP($A680,COMPRADORES!$A:$D,4,FALSE)="NO","Reservado",LEFT(VLOOKUP($A680,COMPRADORES!$A:$D,2,FALSE),3)&amp;"***"&amp;IF(TRIM(MID(VLOOKUP($A680,COMPRADORES!$A:$D,2,FALSE)&amp;" ",FIND(" ",VLOOKUP($A680,COMPRADORES!$A:$D,2,FALSE)&amp;" ")+1,99))="",""," "&amp;LEFT(TRIM(MID(VLOOKUP($A680,COMPRADORES!$A:$D,2,FALSE)&amp;" ",FIND(" ",VLOOKUP($A680,COMPRADORES!$A:$D,2,FALSE)&amp;" ")+1,99)),1)&amp;".")),""))</f>
        <v/>
      </c>
      <c r="F680" s="16">
        <f>IF($B680="PAGADO",MID("ABCDEFGHIJ",INT(VALUE($A680)/100)+1,1)&amp;"-"&amp;$A680,"")</f>
        <v/>
      </c>
      <c r="G680" s="16">
        <f>IF($B680="PAGADO","PAGADO",IF($B680="APARTADO",IF(NOT(ISNUMBER($C680)),"APARTADO",IF($C680&lt;1,"APARTADO",IF(NOW()-$C680&gt;1,"LIBRE","APARTADO"))),"LIBRE"))</f>
        <v/>
      </c>
      <c r="H680" s="15">
        <f>IF($G680&lt;&gt;"APARTADO","",IF(NOT(ISNUMBER($C680)),"FALTA LA HORA",IF($C680&lt;1,"FALTA LA FECHA",TEXT($C680+1,"dd/mm hh:mm"))))</f>
        <v/>
      </c>
    </row>
    <row r="681">
      <c r="A681" s="13" t="inlineStr">
        <is>
          <t>679</t>
        </is>
      </c>
      <c r="B681" t="inlineStr">
        <is>
          <t>LIBRE</t>
        </is>
      </c>
      <c r="C681" s="14" t="n"/>
      <c r="E681" s="15">
        <f>IF($G681&lt;&gt;"PAGADO","",IFERROR(IF(VLOOKUP($A681,COMPRADORES!$A:$D,4,FALSE)="NO","Reservado",LEFT(VLOOKUP($A681,COMPRADORES!$A:$D,2,FALSE),3)&amp;"***"&amp;IF(TRIM(MID(VLOOKUP($A681,COMPRADORES!$A:$D,2,FALSE)&amp;" ",FIND(" ",VLOOKUP($A681,COMPRADORES!$A:$D,2,FALSE)&amp;" ")+1,99))="",""," "&amp;LEFT(TRIM(MID(VLOOKUP($A681,COMPRADORES!$A:$D,2,FALSE)&amp;" ",FIND(" ",VLOOKUP($A681,COMPRADORES!$A:$D,2,FALSE)&amp;" ")+1,99)),1)&amp;".")),""))</f>
        <v/>
      </c>
      <c r="F681" s="16">
        <f>IF($B681="PAGADO",MID("ABCDEFGHIJ",INT(VALUE($A681)/100)+1,1)&amp;"-"&amp;$A681,"")</f>
        <v/>
      </c>
      <c r="G681" s="16">
        <f>IF($B681="PAGADO","PAGADO",IF($B681="APARTADO",IF(NOT(ISNUMBER($C681)),"APARTADO",IF($C681&lt;1,"APARTADO",IF(NOW()-$C681&gt;1,"LIBRE","APARTADO"))),"LIBRE"))</f>
        <v/>
      </c>
      <c r="H681" s="15">
        <f>IF($G681&lt;&gt;"APARTADO","",IF(NOT(ISNUMBER($C681)),"FALTA LA HORA",IF($C681&lt;1,"FALTA LA FECHA",TEXT($C681+1,"dd/mm hh:mm"))))</f>
        <v/>
      </c>
    </row>
    <row r="682">
      <c r="A682" s="13" t="inlineStr">
        <is>
          <t>680</t>
        </is>
      </c>
      <c r="B682" t="inlineStr">
        <is>
          <t>LIBRE</t>
        </is>
      </c>
      <c r="C682" s="14" t="n"/>
      <c r="E682" s="15">
        <f>IF($G682&lt;&gt;"PAGADO","",IFERROR(IF(VLOOKUP($A682,COMPRADORES!$A:$D,4,FALSE)="NO","Reservado",LEFT(VLOOKUP($A682,COMPRADORES!$A:$D,2,FALSE),3)&amp;"***"&amp;IF(TRIM(MID(VLOOKUP($A682,COMPRADORES!$A:$D,2,FALSE)&amp;" ",FIND(" ",VLOOKUP($A682,COMPRADORES!$A:$D,2,FALSE)&amp;" ")+1,99))="",""," "&amp;LEFT(TRIM(MID(VLOOKUP($A682,COMPRADORES!$A:$D,2,FALSE)&amp;" ",FIND(" ",VLOOKUP($A682,COMPRADORES!$A:$D,2,FALSE)&amp;" ")+1,99)),1)&amp;".")),""))</f>
        <v/>
      </c>
      <c r="F682" s="16">
        <f>IF($B682="PAGADO",MID("ABCDEFGHIJ",INT(VALUE($A682)/100)+1,1)&amp;"-"&amp;$A682,"")</f>
        <v/>
      </c>
      <c r="G682" s="16">
        <f>IF($B682="PAGADO","PAGADO",IF($B682="APARTADO",IF(NOT(ISNUMBER($C682)),"APARTADO",IF($C682&lt;1,"APARTADO",IF(NOW()-$C682&gt;1,"LIBRE","APARTADO"))),"LIBRE"))</f>
        <v/>
      </c>
      <c r="H682" s="15">
        <f>IF($G682&lt;&gt;"APARTADO","",IF(NOT(ISNUMBER($C682)),"FALTA LA HORA",IF($C682&lt;1,"FALTA LA FECHA",TEXT($C682+1,"dd/mm hh:mm"))))</f>
        <v/>
      </c>
    </row>
    <row r="683">
      <c r="A683" s="13" t="inlineStr">
        <is>
          <t>681</t>
        </is>
      </c>
      <c r="B683" t="inlineStr">
        <is>
          <t>LIBRE</t>
        </is>
      </c>
      <c r="C683" s="14" t="n"/>
      <c r="E683" s="15">
        <f>IF($G683&lt;&gt;"PAGADO","",IFERROR(IF(VLOOKUP($A683,COMPRADORES!$A:$D,4,FALSE)="NO","Reservado",LEFT(VLOOKUP($A683,COMPRADORES!$A:$D,2,FALSE),3)&amp;"***"&amp;IF(TRIM(MID(VLOOKUP($A683,COMPRADORES!$A:$D,2,FALSE)&amp;" ",FIND(" ",VLOOKUP($A683,COMPRADORES!$A:$D,2,FALSE)&amp;" ")+1,99))="",""," "&amp;LEFT(TRIM(MID(VLOOKUP($A683,COMPRADORES!$A:$D,2,FALSE)&amp;" ",FIND(" ",VLOOKUP($A683,COMPRADORES!$A:$D,2,FALSE)&amp;" ")+1,99)),1)&amp;".")),""))</f>
        <v/>
      </c>
      <c r="F683" s="16">
        <f>IF($B683="PAGADO",MID("ABCDEFGHIJ",INT(VALUE($A683)/100)+1,1)&amp;"-"&amp;$A683,"")</f>
        <v/>
      </c>
      <c r="G683" s="16">
        <f>IF($B683="PAGADO","PAGADO",IF($B683="APARTADO",IF(NOT(ISNUMBER($C683)),"APARTADO",IF($C683&lt;1,"APARTADO",IF(NOW()-$C683&gt;1,"LIBRE","APARTADO"))),"LIBRE"))</f>
        <v/>
      </c>
      <c r="H683" s="15">
        <f>IF($G683&lt;&gt;"APARTADO","",IF(NOT(ISNUMBER($C683)),"FALTA LA HORA",IF($C683&lt;1,"FALTA LA FECHA",TEXT($C683+1,"dd/mm hh:mm"))))</f>
        <v/>
      </c>
    </row>
    <row r="684">
      <c r="A684" s="13" t="inlineStr">
        <is>
          <t>682</t>
        </is>
      </c>
      <c r="B684" t="inlineStr">
        <is>
          <t>LIBRE</t>
        </is>
      </c>
      <c r="C684" s="14" t="n"/>
      <c r="E684" s="15">
        <f>IF($G684&lt;&gt;"PAGADO","",IFERROR(IF(VLOOKUP($A684,COMPRADORES!$A:$D,4,FALSE)="NO","Reservado",LEFT(VLOOKUP($A684,COMPRADORES!$A:$D,2,FALSE),3)&amp;"***"&amp;IF(TRIM(MID(VLOOKUP($A684,COMPRADORES!$A:$D,2,FALSE)&amp;" ",FIND(" ",VLOOKUP($A684,COMPRADORES!$A:$D,2,FALSE)&amp;" ")+1,99))="",""," "&amp;LEFT(TRIM(MID(VLOOKUP($A684,COMPRADORES!$A:$D,2,FALSE)&amp;" ",FIND(" ",VLOOKUP($A684,COMPRADORES!$A:$D,2,FALSE)&amp;" ")+1,99)),1)&amp;".")),""))</f>
        <v/>
      </c>
      <c r="F684" s="16">
        <f>IF($B684="PAGADO",MID("ABCDEFGHIJ",INT(VALUE($A684)/100)+1,1)&amp;"-"&amp;$A684,"")</f>
        <v/>
      </c>
      <c r="G684" s="16">
        <f>IF($B684="PAGADO","PAGADO",IF($B684="APARTADO",IF(NOT(ISNUMBER($C684)),"APARTADO",IF($C684&lt;1,"APARTADO",IF(NOW()-$C684&gt;1,"LIBRE","APARTADO"))),"LIBRE"))</f>
        <v/>
      </c>
      <c r="H684" s="15">
        <f>IF($G684&lt;&gt;"APARTADO","",IF(NOT(ISNUMBER($C684)),"FALTA LA HORA",IF($C684&lt;1,"FALTA LA FECHA",TEXT($C684+1,"dd/mm hh:mm"))))</f>
        <v/>
      </c>
    </row>
    <row r="685">
      <c r="A685" s="13" t="inlineStr">
        <is>
          <t>683</t>
        </is>
      </c>
      <c r="B685" t="inlineStr">
        <is>
          <t>LIBRE</t>
        </is>
      </c>
      <c r="C685" s="14" t="n"/>
      <c r="E685" s="15">
        <f>IF($G685&lt;&gt;"PAGADO","",IFERROR(IF(VLOOKUP($A685,COMPRADORES!$A:$D,4,FALSE)="NO","Reservado",LEFT(VLOOKUP($A685,COMPRADORES!$A:$D,2,FALSE),3)&amp;"***"&amp;IF(TRIM(MID(VLOOKUP($A685,COMPRADORES!$A:$D,2,FALSE)&amp;" ",FIND(" ",VLOOKUP($A685,COMPRADORES!$A:$D,2,FALSE)&amp;" ")+1,99))="",""," "&amp;LEFT(TRIM(MID(VLOOKUP($A685,COMPRADORES!$A:$D,2,FALSE)&amp;" ",FIND(" ",VLOOKUP($A685,COMPRADORES!$A:$D,2,FALSE)&amp;" ")+1,99)),1)&amp;".")),""))</f>
        <v/>
      </c>
      <c r="F685" s="16">
        <f>IF($B685="PAGADO",MID("ABCDEFGHIJ",INT(VALUE($A685)/100)+1,1)&amp;"-"&amp;$A685,"")</f>
        <v/>
      </c>
      <c r="G685" s="16">
        <f>IF($B685="PAGADO","PAGADO",IF($B685="APARTADO",IF(NOT(ISNUMBER($C685)),"APARTADO",IF($C685&lt;1,"APARTADO",IF(NOW()-$C685&gt;1,"LIBRE","APARTADO"))),"LIBRE"))</f>
        <v/>
      </c>
      <c r="H685" s="15">
        <f>IF($G685&lt;&gt;"APARTADO","",IF(NOT(ISNUMBER($C685)),"FALTA LA HORA",IF($C685&lt;1,"FALTA LA FECHA",TEXT($C685+1,"dd/mm hh:mm"))))</f>
        <v/>
      </c>
    </row>
    <row r="686">
      <c r="A686" s="13" t="inlineStr">
        <is>
          <t>684</t>
        </is>
      </c>
      <c r="B686" t="inlineStr">
        <is>
          <t>LIBRE</t>
        </is>
      </c>
      <c r="C686" s="14" t="n"/>
      <c r="E686" s="15">
        <f>IF($G686&lt;&gt;"PAGADO","",IFERROR(IF(VLOOKUP($A686,COMPRADORES!$A:$D,4,FALSE)="NO","Reservado",LEFT(VLOOKUP($A686,COMPRADORES!$A:$D,2,FALSE),3)&amp;"***"&amp;IF(TRIM(MID(VLOOKUP($A686,COMPRADORES!$A:$D,2,FALSE)&amp;" ",FIND(" ",VLOOKUP($A686,COMPRADORES!$A:$D,2,FALSE)&amp;" ")+1,99))="",""," "&amp;LEFT(TRIM(MID(VLOOKUP($A686,COMPRADORES!$A:$D,2,FALSE)&amp;" ",FIND(" ",VLOOKUP($A686,COMPRADORES!$A:$D,2,FALSE)&amp;" ")+1,99)),1)&amp;".")),""))</f>
        <v/>
      </c>
      <c r="F686" s="16">
        <f>IF($B686="PAGADO",MID("ABCDEFGHIJ",INT(VALUE($A686)/100)+1,1)&amp;"-"&amp;$A686,"")</f>
        <v/>
      </c>
      <c r="G686" s="16">
        <f>IF($B686="PAGADO","PAGADO",IF($B686="APARTADO",IF(NOT(ISNUMBER($C686)),"APARTADO",IF($C686&lt;1,"APARTADO",IF(NOW()-$C686&gt;1,"LIBRE","APARTADO"))),"LIBRE"))</f>
        <v/>
      </c>
      <c r="H686" s="15">
        <f>IF($G686&lt;&gt;"APARTADO","",IF(NOT(ISNUMBER($C686)),"FALTA LA HORA",IF($C686&lt;1,"FALTA LA FECHA",TEXT($C686+1,"dd/mm hh:mm"))))</f>
        <v/>
      </c>
    </row>
    <row r="687">
      <c r="A687" s="13" t="inlineStr">
        <is>
          <t>685</t>
        </is>
      </c>
      <c r="B687" t="inlineStr">
        <is>
          <t>LIBRE</t>
        </is>
      </c>
      <c r="C687" s="14" t="n"/>
      <c r="E687" s="15">
        <f>IF($G687&lt;&gt;"PAGADO","",IFERROR(IF(VLOOKUP($A687,COMPRADORES!$A:$D,4,FALSE)="NO","Reservado",LEFT(VLOOKUP($A687,COMPRADORES!$A:$D,2,FALSE),3)&amp;"***"&amp;IF(TRIM(MID(VLOOKUP($A687,COMPRADORES!$A:$D,2,FALSE)&amp;" ",FIND(" ",VLOOKUP($A687,COMPRADORES!$A:$D,2,FALSE)&amp;" ")+1,99))="",""," "&amp;LEFT(TRIM(MID(VLOOKUP($A687,COMPRADORES!$A:$D,2,FALSE)&amp;" ",FIND(" ",VLOOKUP($A687,COMPRADORES!$A:$D,2,FALSE)&amp;" ")+1,99)),1)&amp;".")),""))</f>
        <v/>
      </c>
      <c r="F687" s="16">
        <f>IF($B687="PAGADO",MID("ABCDEFGHIJ",INT(VALUE($A687)/100)+1,1)&amp;"-"&amp;$A687,"")</f>
        <v/>
      </c>
      <c r="G687" s="16">
        <f>IF($B687="PAGADO","PAGADO",IF($B687="APARTADO",IF(NOT(ISNUMBER($C687)),"APARTADO",IF($C687&lt;1,"APARTADO",IF(NOW()-$C687&gt;1,"LIBRE","APARTADO"))),"LIBRE"))</f>
        <v/>
      </c>
      <c r="H687" s="15">
        <f>IF($G687&lt;&gt;"APARTADO","",IF(NOT(ISNUMBER($C687)),"FALTA LA HORA",IF($C687&lt;1,"FALTA LA FECHA",TEXT($C687+1,"dd/mm hh:mm"))))</f>
        <v/>
      </c>
    </row>
    <row r="688">
      <c r="A688" s="13" t="inlineStr">
        <is>
          <t>686</t>
        </is>
      </c>
      <c r="B688" t="inlineStr">
        <is>
          <t>LIBRE</t>
        </is>
      </c>
      <c r="C688" s="14" t="n"/>
      <c r="E688" s="15">
        <f>IF($G688&lt;&gt;"PAGADO","",IFERROR(IF(VLOOKUP($A688,COMPRADORES!$A:$D,4,FALSE)="NO","Reservado",LEFT(VLOOKUP($A688,COMPRADORES!$A:$D,2,FALSE),3)&amp;"***"&amp;IF(TRIM(MID(VLOOKUP($A688,COMPRADORES!$A:$D,2,FALSE)&amp;" ",FIND(" ",VLOOKUP($A688,COMPRADORES!$A:$D,2,FALSE)&amp;" ")+1,99))="",""," "&amp;LEFT(TRIM(MID(VLOOKUP($A688,COMPRADORES!$A:$D,2,FALSE)&amp;" ",FIND(" ",VLOOKUP($A688,COMPRADORES!$A:$D,2,FALSE)&amp;" ")+1,99)),1)&amp;".")),""))</f>
        <v/>
      </c>
      <c r="F688" s="16">
        <f>IF($B688="PAGADO",MID("ABCDEFGHIJ",INT(VALUE($A688)/100)+1,1)&amp;"-"&amp;$A688,"")</f>
        <v/>
      </c>
      <c r="G688" s="16">
        <f>IF($B688="PAGADO","PAGADO",IF($B688="APARTADO",IF(NOT(ISNUMBER($C688)),"APARTADO",IF($C688&lt;1,"APARTADO",IF(NOW()-$C688&gt;1,"LIBRE","APARTADO"))),"LIBRE"))</f>
        <v/>
      </c>
      <c r="H688" s="15">
        <f>IF($G688&lt;&gt;"APARTADO","",IF(NOT(ISNUMBER($C688)),"FALTA LA HORA",IF($C688&lt;1,"FALTA LA FECHA",TEXT($C688+1,"dd/mm hh:mm"))))</f>
        <v/>
      </c>
    </row>
    <row r="689">
      <c r="A689" s="13" t="inlineStr">
        <is>
          <t>687</t>
        </is>
      </c>
      <c r="B689" t="inlineStr">
        <is>
          <t>LIBRE</t>
        </is>
      </c>
      <c r="C689" s="14" t="n"/>
      <c r="E689" s="15">
        <f>IF($G689&lt;&gt;"PAGADO","",IFERROR(IF(VLOOKUP($A689,COMPRADORES!$A:$D,4,FALSE)="NO","Reservado",LEFT(VLOOKUP($A689,COMPRADORES!$A:$D,2,FALSE),3)&amp;"***"&amp;IF(TRIM(MID(VLOOKUP($A689,COMPRADORES!$A:$D,2,FALSE)&amp;" ",FIND(" ",VLOOKUP($A689,COMPRADORES!$A:$D,2,FALSE)&amp;" ")+1,99))="",""," "&amp;LEFT(TRIM(MID(VLOOKUP($A689,COMPRADORES!$A:$D,2,FALSE)&amp;" ",FIND(" ",VLOOKUP($A689,COMPRADORES!$A:$D,2,FALSE)&amp;" ")+1,99)),1)&amp;".")),""))</f>
        <v/>
      </c>
      <c r="F689" s="16">
        <f>IF($B689="PAGADO",MID("ABCDEFGHIJ",INT(VALUE($A689)/100)+1,1)&amp;"-"&amp;$A689,"")</f>
        <v/>
      </c>
      <c r="G689" s="16">
        <f>IF($B689="PAGADO","PAGADO",IF($B689="APARTADO",IF(NOT(ISNUMBER($C689)),"APARTADO",IF($C689&lt;1,"APARTADO",IF(NOW()-$C689&gt;1,"LIBRE","APARTADO"))),"LIBRE"))</f>
        <v/>
      </c>
      <c r="H689" s="15">
        <f>IF($G689&lt;&gt;"APARTADO","",IF(NOT(ISNUMBER($C689)),"FALTA LA HORA",IF($C689&lt;1,"FALTA LA FECHA",TEXT($C689+1,"dd/mm hh:mm"))))</f>
        <v/>
      </c>
    </row>
    <row r="690">
      <c r="A690" s="13" t="inlineStr">
        <is>
          <t>688</t>
        </is>
      </c>
      <c r="B690" t="inlineStr">
        <is>
          <t>LIBRE</t>
        </is>
      </c>
      <c r="C690" s="14" t="n"/>
      <c r="E690" s="15">
        <f>IF($G690&lt;&gt;"PAGADO","",IFERROR(IF(VLOOKUP($A690,COMPRADORES!$A:$D,4,FALSE)="NO","Reservado",LEFT(VLOOKUP($A690,COMPRADORES!$A:$D,2,FALSE),3)&amp;"***"&amp;IF(TRIM(MID(VLOOKUP($A690,COMPRADORES!$A:$D,2,FALSE)&amp;" ",FIND(" ",VLOOKUP($A690,COMPRADORES!$A:$D,2,FALSE)&amp;" ")+1,99))="",""," "&amp;LEFT(TRIM(MID(VLOOKUP($A690,COMPRADORES!$A:$D,2,FALSE)&amp;" ",FIND(" ",VLOOKUP($A690,COMPRADORES!$A:$D,2,FALSE)&amp;" ")+1,99)),1)&amp;".")),""))</f>
        <v/>
      </c>
      <c r="F690" s="16">
        <f>IF($B690="PAGADO",MID("ABCDEFGHIJ",INT(VALUE($A690)/100)+1,1)&amp;"-"&amp;$A690,"")</f>
        <v/>
      </c>
      <c r="G690" s="16">
        <f>IF($B690="PAGADO","PAGADO",IF($B690="APARTADO",IF(NOT(ISNUMBER($C690)),"APARTADO",IF($C690&lt;1,"APARTADO",IF(NOW()-$C690&gt;1,"LIBRE","APARTADO"))),"LIBRE"))</f>
        <v/>
      </c>
      <c r="H690" s="15">
        <f>IF($G690&lt;&gt;"APARTADO","",IF(NOT(ISNUMBER($C690)),"FALTA LA HORA",IF($C690&lt;1,"FALTA LA FECHA",TEXT($C690+1,"dd/mm hh:mm"))))</f>
        <v/>
      </c>
    </row>
    <row r="691">
      <c r="A691" s="13" t="inlineStr">
        <is>
          <t>689</t>
        </is>
      </c>
      <c r="B691" t="inlineStr">
        <is>
          <t>LIBRE</t>
        </is>
      </c>
      <c r="C691" s="14" t="n"/>
      <c r="E691" s="15">
        <f>IF($G691&lt;&gt;"PAGADO","",IFERROR(IF(VLOOKUP($A691,COMPRADORES!$A:$D,4,FALSE)="NO","Reservado",LEFT(VLOOKUP($A691,COMPRADORES!$A:$D,2,FALSE),3)&amp;"***"&amp;IF(TRIM(MID(VLOOKUP($A691,COMPRADORES!$A:$D,2,FALSE)&amp;" ",FIND(" ",VLOOKUP($A691,COMPRADORES!$A:$D,2,FALSE)&amp;" ")+1,99))="",""," "&amp;LEFT(TRIM(MID(VLOOKUP($A691,COMPRADORES!$A:$D,2,FALSE)&amp;" ",FIND(" ",VLOOKUP($A691,COMPRADORES!$A:$D,2,FALSE)&amp;" ")+1,99)),1)&amp;".")),""))</f>
        <v/>
      </c>
      <c r="F691" s="16">
        <f>IF($B691="PAGADO",MID("ABCDEFGHIJ",INT(VALUE($A691)/100)+1,1)&amp;"-"&amp;$A691,"")</f>
        <v/>
      </c>
      <c r="G691" s="16">
        <f>IF($B691="PAGADO","PAGADO",IF($B691="APARTADO",IF(NOT(ISNUMBER($C691)),"APARTADO",IF($C691&lt;1,"APARTADO",IF(NOW()-$C691&gt;1,"LIBRE","APARTADO"))),"LIBRE"))</f>
        <v/>
      </c>
      <c r="H691" s="15">
        <f>IF($G691&lt;&gt;"APARTADO","",IF(NOT(ISNUMBER($C691)),"FALTA LA HORA",IF($C691&lt;1,"FALTA LA FECHA",TEXT($C691+1,"dd/mm hh:mm"))))</f>
        <v/>
      </c>
    </row>
    <row r="692">
      <c r="A692" s="13" t="inlineStr">
        <is>
          <t>690</t>
        </is>
      </c>
      <c r="B692" t="inlineStr">
        <is>
          <t>LIBRE</t>
        </is>
      </c>
      <c r="C692" s="14" t="n"/>
      <c r="E692" s="15">
        <f>IF($G692&lt;&gt;"PAGADO","",IFERROR(IF(VLOOKUP($A692,COMPRADORES!$A:$D,4,FALSE)="NO","Reservado",LEFT(VLOOKUP($A692,COMPRADORES!$A:$D,2,FALSE),3)&amp;"***"&amp;IF(TRIM(MID(VLOOKUP($A692,COMPRADORES!$A:$D,2,FALSE)&amp;" ",FIND(" ",VLOOKUP($A692,COMPRADORES!$A:$D,2,FALSE)&amp;" ")+1,99))="",""," "&amp;LEFT(TRIM(MID(VLOOKUP($A692,COMPRADORES!$A:$D,2,FALSE)&amp;" ",FIND(" ",VLOOKUP($A692,COMPRADORES!$A:$D,2,FALSE)&amp;" ")+1,99)),1)&amp;".")),""))</f>
        <v/>
      </c>
      <c r="F692" s="16">
        <f>IF($B692="PAGADO",MID("ABCDEFGHIJ",INT(VALUE($A692)/100)+1,1)&amp;"-"&amp;$A692,"")</f>
        <v/>
      </c>
      <c r="G692" s="16">
        <f>IF($B692="PAGADO","PAGADO",IF($B692="APARTADO",IF(NOT(ISNUMBER($C692)),"APARTADO",IF($C692&lt;1,"APARTADO",IF(NOW()-$C692&gt;1,"LIBRE","APARTADO"))),"LIBRE"))</f>
        <v/>
      </c>
      <c r="H692" s="15">
        <f>IF($G692&lt;&gt;"APARTADO","",IF(NOT(ISNUMBER($C692)),"FALTA LA HORA",IF($C692&lt;1,"FALTA LA FECHA",TEXT($C692+1,"dd/mm hh:mm"))))</f>
        <v/>
      </c>
    </row>
    <row r="693">
      <c r="A693" s="13" t="inlineStr">
        <is>
          <t>691</t>
        </is>
      </c>
      <c r="B693" t="inlineStr">
        <is>
          <t>LIBRE</t>
        </is>
      </c>
      <c r="C693" s="14" t="n"/>
      <c r="E693" s="15">
        <f>IF($G693&lt;&gt;"PAGADO","",IFERROR(IF(VLOOKUP($A693,COMPRADORES!$A:$D,4,FALSE)="NO","Reservado",LEFT(VLOOKUP($A693,COMPRADORES!$A:$D,2,FALSE),3)&amp;"***"&amp;IF(TRIM(MID(VLOOKUP($A693,COMPRADORES!$A:$D,2,FALSE)&amp;" ",FIND(" ",VLOOKUP($A693,COMPRADORES!$A:$D,2,FALSE)&amp;" ")+1,99))="",""," "&amp;LEFT(TRIM(MID(VLOOKUP($A693,COMPRADORES!$A:$D,2,FALSE)&amp;" ",FIND(" ",VLOOKUP($A693,COMPRADORES!$A:$D,2,FALSE)&amp;" ")+1,99)),1)&amp;".")),""))</f>
        <v/>
      </c>
      <c r="F693" s="16">
        <f>IF($B693="PAGADO",MID("ABCDEFGHIJ",INT(VALUE($A693)/100)+1,1)&amp;"-"&amp;$A693,"")</f>
        <v/>
      </c>
      <c r="G693" s="16">
        <f>IF($B693="PAGADO","PAGADO",IF($B693="APARTADO",IF(NOT(ISNUMBER($C693)),"APARTADO",IF($C693&lt;1,"APARTADO",IF(NOW()-$C693&gt;1,"LIBRE","APARTADO"))),"LIBRE"))</f>
        <v/>
      </c>
      <c r="H693" s="15">
        <f>IF($G693&lt;&gt;"APARTADO","",IF(NOT(ISNUMBER($C693)),"FALTA LA HORA",IF($C693&lt;1,"FALTA LA FECHA",TEXT($C693+1,"dd/mm hh:mm"))))</f>
        <v/>
      </c>
    </row>
    <row r="694">
      <c r="A694" s="13" t="inlineStr">
        <is>
          <t>692</t>
        </is>
      </c>
      <c r="B694" t="inlineStr">
        <is>
          <t>LIBRE</t>
        </is>
      </c>
      <c r="C694" s="14" t="n"/>
      <c r="E694" s="15">
        <f>IF($G694&lt;&gt;"PAGADO","",IFERROR(IF(VLOOKUP($A694,COMPRADORES!$A:$D,4,FALSE)="NO","Reservado",LEFT(VLOOKUP($A694,COMPRADORES!$A:$D,2,FALSE),3)&amp;"***"&amp;IF(TRIM(MID(VLOOKUP($A694,COMPRADORES!$A:$D,2,FALSE)&amp;" ",FIND(" ",VLOOKUP($A694,COMPRADORES!$A:$D,2,FALSE)&amp;" ")+1,99))="",""," "&amp;LEFT(TRIM(MID(VLOOKUP($A694,COMPRADORES!$A:$D,2,FALSE)&amp;" ",FIND(" ",VLOOKUP($A694,COMPRADORES!$A:$D,2,FALSE)&amp;" ")+1,99)),1)&amp;".")),""))</f>
        <v/>
      </c>
      <c r="F694" s="16">
        <f>IF($B694="PAGADO",MID("ABCDEFGHIJ",INT(VALUE($A694)/100)+1,1)&amp;"-"&amp;$A694,"")</f>
        <v/>
      </c>
      <c r="G694" s="16">
        <f>IF($B694="PAGADO","PAGADO",IF($B694="APARTADO",IF(NOT(ISNUMBER($C694)),"APARTADO",IF($C694&lt;1,"APARTADO",IF(NOW()-$C694&gt;1,"LIBRE","APARTADO"))),"LIBRE"))</f>
        <v/>
      </c>
      <c r="H694" s="15">
        <f>IF($G694&lt;&gt;"APARTADO","",IF(NOT(ISNUMBER($C694)),"FALTA LA HORA",IF($C694&lt;1,"FALTA LA FECHA",TEXT($C694+1,"dd/mm hh:mm"))))</f>
        <v/>
      </c>
    </row>
    <row r="695">
      <c r="A695" s="13" t="inlineStr">
        <is>
          <t>693</t>
        </is>
      </c>
      <c r="B695" t="inlineStr">
        <is>
          <t>LIBRE</t>
        </is>
      </c>
      <c r="C695" s="14" t="n"/>
      <c r="E695" s="15">
        <f>IF($G695&lt;&gt;"PAGADO","",IFERROR(IF(VLOOKUP($A695,COMPRADORES!$A:$D,4,FALSE)="NO","Reservado",LEFT(VLOOKUP($A695,COMPRADORES!$A:$D,2,FALSE),3)&amp;"***"&amp;IF(TRIM(MID(VLOOKUP($A695,COMPRADORES!$A:$D,2,FALSE)&amp;" ",FIND(" ",VLOOKUP($A695,COMPRADORES!$A:$D,2,FALSE)&amp;" ")+1,99))="",""," "&amp;LEFT(TRIM(MID(VLOOKUP($A695,COMPRADORES!$A:$D,2,FALSE)&amp;" ",FIND(" ",VLOOKUP($A695,COMPRADORES!$A:$D,2,FALSE)&amp;" ")+1,99)),1)&amp;".")),""))</f>
        <v/>
      </c>
      <c r="F695" s="16">
        <f>IF($B695="PAGADO",MID("ABCDEFGHIJ",INT(VALUE($A695)/100)+1,1)&amp;"-"&amp;$A695,"")</f>
        <v/>
      </c>
      <c r="G695" s="16">
        <f>IF($B695="PAGADO","PAGADO",IF($B695="APARTADO",IF(NOT(ISNUMBER($C695)),"APARTADO",IF($C695&lt;1,"APARTADO",IF(NOW()-$C695&gt;1,"LIBRE","APARTADO"))),"LIBRE"))</f>
        <v/>
      </c>
      <c r="H695" s="15">
        <f>IF($G695&lt;&gt;"APARTADO","",IF(NOT(ISNUMBER($C695)),"FALTA LA HORA",IF($C695&lt;1,"FALTA LA FECHA",TEXT($C695+1,"dd/mm hh:mm"))))</f>
        <v/>
      </c>
    </row>
    <row r="696">
      <c r="A696" s="13" t="inlineStr">
        <is>
          <t>694</t>
        </is>
      </c>
      <c r="B696" t="inlineStr">
        <is>
          <t>LIBRE</t>
        </is>
      </c>
      <c r="C696" s="14" t="n"/>
      <c r="E696" s="15">
        <f>IF($G696&lt;&gt;"PAGADO","",IFERROR(IF(VLOOKUP($A696,COMPRADORES!$A:$D,4,FALSE)="NO","Reservado",LEFT(VLOOKUP($A696,COMPRADORES!$A:$D,2,FALSE),3)&amp;"***"&amp;IF(TRIM(MID(VLOOKUP($A696,COMPRADORES!$A:$D,2,FALSE)&amp;" ",FIND(" ",VLOOKUP($A696,COMPRADORES!$A:$D,2,FALSE)&amp;" ")+1,99))="",""," "&amp;LEFT(TRIM(MID(VLOOKUP($A696,COMPRADORES!$A:$D,2,FALSE)&amp;" ",FIND(" ",VLOOKUP($A696,COMPRADORES!$A:$D,2,FALSE)&amp;" ")+1,99)),1)&amp;".")),""))</f>
        <v/>
      </c>
      <c r="F696" s="16">
        <f>IF($B696="PAGADO",MID("ABCDEFGHIJ",INT(VALUE($A696)/100)+1,1)&amp;"-"&amp;$A696,"")</f>
        <v/>
      </c>
      <c r="G696" s="16">
        <f>IF($B696="PAGADO","PAGADO",IF($B696="APARTADO",IF(NOT(ISNUMBER($C696)),"APARTADO",IF($C696&lt;1,"APARTADO",IF(NOW()-$C696&gt;1,"LIBRE","APARTADO"))),"LIBRE"))</f>
        <v/>
      </c>
      <c r="H696" s="15">
        <f>IF($G696&lt;&gt;"APARTADO","",IF(NOT(ISNUMBER($C696)),"FALTA LA HORA",IF($C696&lt;1,"FALTA LA FECHA",TEXT($C696+1,"dd/mm hh:mm"))))</f>
        <v/>
      </c>
    </row>
    <row r="697">
      <c r="A697" s="13" t="inlineStr">
        <is>
          <t>695</t>
        </is>
      </c>
      <c r="B697" t="inlineStr">
        <is>
          <t>LIBRE</t>
        </is>
      </c>
      <c r="C697" s="14" t="n"/>
      <c r="E697" s="15">
        <f>IF($G697&lt;&gt;"PAGADO","",IFERROR(IF(VLOOKUP($A697,COMPRADORES!$A:$D,4,FALSE)="NO","Reservado",LEFT(VLOOKUP($A697,COMPRADORES!$A:$D,2,FALSE),3)&amp;"***"&amp;IF(TRIM(MID(VLOOKUP($A697,COMPRADORES!$A:$D,2,FALSE)&amp;" ",FIND(" ",VLOOKUP($A697,COMPRADORES!$A:$D,2,FALSE)&amp;" ")+1,99))="",""," "&amp;LEFT(TRIM(MID(VLOOKUP($A697,COMPRADORES!$A:$D,2,FALSE)&amp;" ",FIND(" ",VLOOKUP($A697,COMPRADORES!$A:$D,2,FALSE)&amp;" ")+1,99)),1)&amp;".")),""))</f>
        <v/>
      </c>
      <c r="F697" s="16">
        <f>IF($B697="PAGADO",MID("ABCDEFGHIJ",INT(VALUE($A697)/100)+1,1)&amp;"-"&amp;$A697,"")</f>
        <v/>
      </c>
      <c r="G697" s="16">
        <f>IF($B697="PAGADO","PAGADO",IF($B697="APARTADO",IF(NOT(ISNUMBER($C697)),"APARTADO",IF($C697&lt;1,"APARTADO",IF(NOW()-$C697&gt;1,"LIBRE","APARTADO"))),"LIBRE"))</f>
        <v/>
      </c>
      <c r="H697" s="15">
        <f>IF($G697&lt;&gt;"APARTADO","",IF(NOT(ISNUMBER($C697)),"FALTA LA HORA",IF($C697&lt;1,"FALTA LA FECHA",TEXT($C697+1,"dd/mm hh:mm"))))</f>
        <v/>
      </c>
    </row>
    <row r="698">
      <c r="A698" s="13" t="inlineStr">
        <is>
          <t>696</t>
        </is>
      </c>
      <c r="B698" t="inlineStr">
        <is>
          <t>LIBRE</t>
        </is>
      </c>
      <c r="C698" s="14" t="n"/>
      <c r="E698" s="15">
        <f>IF($G698&lt;&gt;"PAGADO","",IFERROR(IF(VLOOKUP($A698,COMPRADORES!$A:$D,4,FALSE)="NO","Reservado",LEFT(VLOOKUP($A698,COMPRADORES!$A:$D,2,FALSE),3)&amp;"***"&amp;IF(TRIM(MID(VLOOKUP($A698,COMPRADORES!$A:$D,2,FALSE)&amp;" ",FIND(" ",VLOOKUP($A698,COMPRADORES!$A:$D,2,FALSE)&amp;" ")+1,99))="",""," "&amp;LEFT(TRIM(MID(VLOOKUP($A698,COMPRADORES!$A:$D,2,FALSE)&amp;" ",FIND(" ",VLOOKUP($A698,COMPRADORES!$A:$D,2,FALSE)&amp;" ")+1,99)),1)&amp;".")),""))</f>
        <v/>
      </c>
      <c r="F698" s="16">
        <f>IF($B698="PAGADO",MID("ABCDEFGHIJ",INT(VALUE($A698)/100)+1,1)&amp;"-"&amp;$A698,"")</f>
        <v/>
      </c>
      <c r="G698" s="16">
        <f>IF($B698="PAGADO","PAGADO",IF($B698="APARTADO",IF(NOT(ISNUMBER($C698)),"APARTADO",IF($C698&lt;1,"APARTADO",IF(NOW()-$C698&gt;1,"LIBRE","APARTADO"))),"LIBRE"))</f>
        <v/>
      </c>
      <c r="H698" s="15">
        <f>IF($G698&lt;&gt;"APARTADO","",IF(NOT(ISNUMBER($C698)),"FALTA LA HORA",IF($C698&lt;1,"FALTA LA FECHA",TEXT($C698+1,"dd/mm hh:mm"))))</f>
        <v/>
      </c>
    </row>
    <row r="699">
      <c r="A699" s="13" t="inlineStr">
        <is>
          <t>697</t>
        </is>
      </c>
      <c r="B699" t="inlineStr">
        <is>
          <t>LIBRE</t>
        </is>
      </c>
      <c r="C699" s="14" t="n"/>
      <c r="E699" s="15">
        <f>IF($G699&lt;&gt;"PAGADO","",IFERROR(IF(VLOOKUP($A699,COMPRADORES!$A:$D,4,FALSE)="NO","Reservado",LEFT(VLOOKUP($A699,COMPRADORES!$A:$D,2,FALSE),3)&amp;"***"&amp;IF(TRIM(MID(VLOOKUP($A699,COMPRADORES!$A:$D,2,FALSE)&amp;" ",FIND(" ",VLOOKUP($A699,COMPRADORES!$A:$D,2,FALSE)&amp;" ")+1,99))="",""," "&amp;LEFT(TRIM(MID(VLOOKUP($A699,COMPRADORES!$A:$D,2,FALSE)&amp;" ",FIND(" ",VLOOKUP($A699,COMPRADORES!$A:$D,2,FALSE)&amp;" ")+1,99)),1)&amp;".")),""))</f>
        <v/>
      </c>
      <c r="F699" s="16">
        <f>IF($B699="PAGADO",MID("ABCDEFGHIJ",INT(VALUE($A699)/100)+1,1)&amp;"-"&amp;$A699,"")</f>
        <v/>
      </c>
      <c r="G699" s="16">
        <f>IF($B699="PAGADO","PAGADO",IF($B699="APARTADO",IF(NOT(ISNUMBER($C699)),"APARTADO",IF($C699&lt;1,"APARTADO",IF(NOW()-$C699&gt;1,"LIBRE","APARTADO"))),"LIBRE"))</f>
        <v/>
      </c>
      <c r="H699" s="15">
        <f>IF($G699&lt;&gt;"APARTADO","",IF(NOT(ISNUMBER($C699)),"FALTA LA HORA",IF($C699&lt;1,"FALTA LA FECHA",TEXT($C699+1,"dd/mm hh:mm"))))</f>
        <v/>
      </c>
    </row>
    <row r="700">
      <c r="A700" s="13" t="inlineStr">
        <is>
          <t>698</t>
        </is>
      </c>
      <c r="B700" t="inlineStr">
        <is>
          <t>LIBRE</t>
        </is>
      </c>
      <c r="C700" s="14" t="n"/>
      <c r="E700" s="15">
        <f>IF($G700&lt;&gt;"PAGADO","",IFERROR(IF(VLOOKUP($A700,COMPRADORES!$A:$D,4,FALSE)="NO","Reservado",LEFT(VLOOKUP($A700,COMPRADORES!$A:$D,2,FALSE),3)&amp;"***"&amp;IF(TRIM(MID(VLOOKUP($A700,COMPRADORES!$A:$D,2,FALSE)&amp;" ",FIND(" ",VLOOKUP($A700,COMPRADORES!$A:$D,2,FALSE)&amp;" ")+1,99))="",""," "&amp;LEFT(TRIM(MID(VLOOKUP($A700,COMPRADORES!$A:$D,2,FALSE)&amp;" ",FIND(" ",VLOOKUP($A700,COMPRADORES!$A:$D,2,FALSE)&amp;" ")+1,99)),1)&amp;".")),""))</f>
        <v/>
      </c>
      <c r="F700" s="16">
        <f>IF($B700="PAGADO",MID("ABCDEFGHIJ",INT(VALUE($A700)/100)+1,1)&amp;"-"&amp;$A700,"")</f>
        <v/>
      </c>
      <c r="G700" s="16">
        <f>IF($B700="PAGADO","PAGADO",IF($B700="APARTADO",IF(NOT(ISNUMBER($C700)),"APARTADO",IF($C700&lt;1,"APARTADO",IF(NOW()-$C700&gt;1,"LIBRE","APARTADO"))),"LIBRE"))</f>
        <v/>
      </c>
      <c r="H700" s="15">
        <f>IF($G700&lt;&gt;"APARTADO","",IF(NOT(ISNUMBER($C700)),"FALTA LA HORA",IF($C700&lt;1,"FALTA LA FECHA",TEXT($C700+1,"dd/mm hh:mm"))))</f>
        <v/>
      </c>
    </row>
    <row r="701">
      <c r="A701" s="13" t="inlineStr">
        <is>
          <t>699</t>
        </is>
      </c>
      <c r="B701" t="inlineStr">
        <is>
          <t>LIBRE</t>
        </is>
      </c>
      <c r="C701" s="14" t="n"/>
      <c r="E701" s="15">
        <f>IF($G701&lt;&gt;"PAGADO","",IFERROR(IF(VLOOKUP($A701,COMPRADORES!$A:$D,4,FALSE)="NO","Reservado",LEFT(VLOOKUP($A701,COMPRADORES!$A:$D,2,FALSE),3)&amp;"***"&amp;IF(TRIM(MID(VLOOKUP($A701,COMPRADORES!$A:$D,2,FALSE)&amp;" ",FIND(" ",VLOOKUP($A701,COMPRADORES!$A:$D,2,FALSE)&amp;" ")+1,99))="",""," "&amp;LEFT(TRIM(MID(VLOOKUP($A701,COMPRADORES!$A:$D,2,FALSE)&amp;" ",FIND(" ",VLOOKUP($A701,COMPRADORES!$A:$D,2,FALSE)&amp;" ")+1,99)),1)&amp;".")),""))</f>
        <v/>
      </c>
      <c r="F701" s="16">
        <f>IF($B701="PAGADO",MID("ABCDEFGHIJ",INT(VALUE($A701)/100)+1,1)&amp;"-"&amp;$A701,"")</f>
        <v/>
      </c>
      <c r="G701" s="16">
        <f>IF($B701="PAGADO","PAGADO",IF($B701="APARTADO",IF(NOT(ISNUMBER($C701)),"APARTADO",IF($C701&lt;1,"APARTADO",IF(NOW()-$C701&gt;1,"LIBRE","APARTADO"))),"LIBRE"))</f>
        <v/>
      </c>
      <c r="H701" s="15">
        <f>IF($G701&lt;&gt;"APARTADO","",IF(NOT(ISNUMBER($C701)),"FALTA LA HORA",IF($C701&lt;1,"FALTA LA FECHA",TEXT($C701+1,"dd/mm hh:mm"))))</f>
        <v/>
      </c>
    </row>
    <row r="702">
      <c r="A702" s="13" t="inlineStr">
        <is>
          <t>700</t>
        </is>
      </c>
      <c r="B702" t="inlineStr">
        <is>
          <t>LIBRE</t>
        </is>
      </c>
      <c r="C702" s="14" t="n"/>
      <c r="E702" s="15">
        <f>IF($G702&lt;&gt;"PAGADO","",IFERROR(IF(VLOOKUP($A702,COMPRADORES!$A:$D,4,FALSE)="NO","Reservado",LEFT(VLOOKUP($A702,COMPRADORES!$A:$D,2,FALSE),3)&amp;"***"&amp;IF(TRIM(MID(VLOOKUP($A702,COMPRADORES!$A:$D,2,FALSE)&amp;" ",FIND(" ",VLOOKUP($A702,COMPRADORES!$A:$D,2,FALSE)&amp;" ")+1,99))="",""," "&amp;LEFT(TRIM(MID(VLOOKUP($A702,COMPRADORES!$A:$D,2,FALSE)&amp;" ",FIND(" ",VLOOKUP($A702,COMPRADORES!$A:$D,2,FALSE)&amp;" ")+1,99)),1)&amp;".")),""))</f>
        <v/>
      </c>
      <c r="F702" s="16">
        <f>IF($B702="PAGADO",MID("ABCDEFGHIJ",INT(VALUE($A702)/100)+1,1)&amp;"-"&amp;$A702,"")</f>
        <v/>
      </c>
      <c r="G702" s="16">
        <f>IF($B702="PAGADO","PAGADO",IF($B702="APARTADO",IF(NOT(ISNUMBER($C702)),"APARTADO",IF($C702&lt;1,"APARTADO",IF(NOW()-$C702&gt;1,"LIBRE","APARTADO"))),"LIBRE"))</f>
        <v/>
      </c>
      <c r="H702" s="15">
        <f>IF($G702&lt;&gt;"APARTADO","",IF(NOT(ISNUMBER($C702)),"FALTA LA HORA",IF($C702&lt;1,"FALTA LA FECHA",TEXT($C702+1,"dd/mm hh:mm"))))</f>
        <v/>
      </c>
    </row>
    <row r="703">
      <c r="A703" s="13" t="inlineStr">
        <is>
          <t>701</t>
        </is>
      </c>
      <c r="B703" t="inlineStr">
        <is>
          <t>LIBRE</t>
        </is>
      </c>
      <c r="C703" s="14" t="n"/>
      <c r="E703" s="15">
        <f>IF($G703&lt;&gt;"PAGADO","",IFERROR(IF(VLOOKUP($A703,COMPRADORES!$A:$D,4,FALSE)="NO","Reservado",LEFT(VLOOKUP($A703,COMPRADORES!$A:$D,2,FALSE),3)&amp;"***"&amp;IF(TRIM(MID(VLOOKUP($A703,COMPRADORES!$A:$D,2,FALSE)&amp;" ",FIND(" ",VLOOKUP($A703,COMPRADORES!$A:$D,2,FALSE)&amp;" ")+1,99))="",""," "&amp;LEFT(TRIM(MID(VLOOKUP($A703,COMPRADORES!$A:$D,2,FALSE)&amp;" ",FIND(" ",VLOOKUP($A703,COMPRADORES!$A:$D,2,FALSE)&amp;" ")+1,99)),1)&amp;".")),""))</f>
        <v/>
      </c>
      <c r="F703" s="16">
        <f>IF($B703="PAGADO",MID("ABCDEFGHIJ",INT(VALUE($A703)/100)+1,1)&amp;"-"&amp;$A703,"")</f>
        <v/>
      </c>
      <c r="G703" s="16">
        <f>IF($B703="PAGADO","PAGADO",IF($B703="APARTADO",IF(NOT(ISNUMBER($C703)),"APARTADO",IF($C703&lt;1,"APARTADO",IF(NOW()-$C703&gt;1,"LIBRE","APARTADO"))),"LIBRE"))</f>
        <v/>
      </c>
      <c r="H703" s="15">
        <f>IF($G703&lt;&gt;"APARTADO","",IF(NOT(ISNUMBER($C703)),"FALTA LA HORA",IF($C703&lt;1,"FALTA LA FECHA",TEXT($C703+1,"dd/mm hh:mm"))))</f>
        <v/>
      </c>
    </row>
    <row r="704">
      <c r="A704" s="13" t="inlineStr">
        <is>
          <t>702</t>
        </is>
      </c>
      <c r="B704" t="inlineStr">
        <is>
          <t>LIBRE</t>
        </is>
      </c>
      <c r="C704" s="14" t="n"/>
      <c r="E704" s="15">
        <f>IF($G704&lt;&gt;"PAGADO","",IFERROR(IF(VLOOKUP($A704,COMPRADORES!$A:$D,4,FALSE)="NO","Reservado",LEFT(VLOOKUP($A704,COMPRADORES!$A:$D,2,FALSE),3)&amp;"***"&amp;IF(TRIM(MID(VLOOKUP($A704,COMPRADORES!$A:$D,2,FALSE)&amp;" ",FIND(" ",VLOOKUP($A704,COMPRADORES!$A:$D,2,FALSE)&amp;" ")+1,99))="",""," "&amp;LEFT(TRIM(MID(VLOOKUP($A704,COMPRADORES!$A:$D,2,FALSE)&amp;" ",FIND(" ",VLOOKUP($A704,COMPRADORES!$A:$D,2,FALSE)&amp;" ")+1,99)),1)&amp;".")),""))</f>
        <v/>
      </c>
      <c r="F704" s="16">
        <f>IF($B704="PAGADO",MID("ABCDEFGHIJ",INT(VALUE($A704)/100)+1,1)&amp;"-"&amp;$A704,"")</f>
        <v/>
      </c>
      <c r="G704" s="16">
        <f>IF($B704="PAGADO","PAGADO",IF($B704="APARTADO",IF(NOT(ISNUMBER($C704)),"APARTADO",IF($C704&lt;1,"APARTADO",IF(NOW()-$C704&gt;1,"LIBRE","APARTADO"))),"LIBRE"))</f>
        <v/>
      </c>
      <c r="H704" s="15">
        <f>IF($G704&lt;&gt;"APARTADO","",IF(NOT(ISNUMBER($C704)),"FALTA LA HORA",IF($C704&lt;1,"FALTA LA FECHA",TEXT($C704+1,"dd/mm hh:mm"))))</f>
        <v/>
      </c>
    </row>
    <row r="705">
      <c r="A705" s="13" t="inlineStr">
        <is>
          <t>703</t>
        </is>
      </c>
      <c r="B705" t="inlineStr">
        <is>
          <t>LIBRE</t>
        </is>
      </c>
      <c r="C705" s="14" t="n"/>
      <c r="E705" s="15">
        <f>IF($G705&lt;&gt;"PAGADO","",IFERROR(IF(VLOOKUP($A705,COMPRADORES!$A:$D,4,FALSE)="NO","Reservado",LEFT(VLOOKUP($A705,COMPRADORES!$A:$D,2,FALSE),3)&amp;"***"&amp;IF(TRIM(MID(VLOOKUP($A705,COMPRADORES!$A:$D,2,FALSE)&amp;" ",FIND(" ",VLOOKUP($A705,COMPRADORES!$A:$D,2,FALSE)&amp;" ")+1,99))="",""," "&amp;LEFT(TRIM(MID(VLOOKUP($A705,COMPRADORES!$A:$D,2,FALSE)&amp;" ",FIND(" ",VLOOKUP($A705,COMPRADORES!$A:$D,2,FALSE)&amp;" ")+1,99)),1)&amp;".")),""))</f>
        <v/>
      </c>
      <c r="F705" s="16">
        <f>IF($B705="PAGADO",MID("ABCDEFGHIJ",INT(VALUE($A705)/100)+1,1)&amp;"-"&amp;$A705,"")</f>
        <v/>
      </c>
      <c r="G705" s="16">
        <f>IF($B705="PAGADO","PAGADO",IF($B705="APARTADO",IF(NOT(ISNUMBER($C705)),"APARTADO",IF($C705&lt;1,"APARTADO",IF(NOW()-$C705&gt;1,"LIBRE","APARTADO"))),"LIBRE"))</f>
        <v/>
      </c>
      <c r="H705" s="15">
        <f>IF($G705&lt;&gt;"APARTADO","",IF(NOT(ISNUMBER($C705)),"FALTA LA HORA",IF($C705&lt;1,"FALTA LA FECHA",TEXT($C705+1,"dd/mm hh:mm"))))</f>
        <v/>
      </c>
    </row>
    <row r="706">
      <c r="A706" s="13" t="inlineStr">
        <is>
          <t>704</t>
        </is>
      </c>
      <c r="B706" t="inlineStr">
        <is>
          <t>LIBRE</t>
        </is>
      </c>
      <c r="C706" s="14" t="n"/>
      <c r="E706" s="15">
        <f>IF($G706&lt;&gt;"PAGADO","",IFERROR(IF(VLOOKUP($A706,COMPRADORES!$A:$D,4,FALSE)="NO","Reservado",LEFT(VLOOKUP($A706,COMPRADORES!$A:$D,2,FALSE),3)&amp;"***"&amp;IF(TRIM(MID(VLOOKUP($A706,COMPRADORES!$A:$D,2,FALSE)&amp;" ",FIND(" ",VLOOKUP($A706,COMPRADORES!$A:$D,2,FALSE)&amp;" ")+1,99))="",""," "&amp;LEFT(TRIM(MID(VLOOKUP($A706,COMPRADORES!$A:$D,2,FALSE)&amp;" ",FIND(" ",VLOOKUP($A706,COMPRADORES!$A:$D,2,FALSE)&amp;" ")+1,99)),1)&amp;".")),""))</f>
        <v/>
      </c>
      <c r="F706" s="16">
        <f>IF($B706="PAGADO",MID("ABCDEFGHIJ",INT(VALUE($A706)/100)+1,1)&amp;"-"&amp;$A706,"")</f>
        <v/>
      </c>
      <c r="G706" s="16">
        <f>IF($B706="PAGADO","PAGADO",IF($B706="APARTADO",IF(NOT(ISNUMBER($C706)),"APARTADO",IF($C706&lt;1,"APARTADO",IF(NOW()-$C706&gt;1,"LIBRE","APARTADO"))),"LIBRE"))</f>
        <v/>
      </c>
      <c r="H706" s="15">
        <f>IF($G706&lt;&gt;"APARTADO","",IF(NOT(ISNUMBER($C706)),"FALTA LA HORA",IF($C706&lt;1,"FALTA LA FECHA",TEXT($C706+1,"dd/mm hh:mm"))))</f>
        <v/>
      </c>
    </row>
    <row r="707">
      <c r="A707" s="13" t="inlineStr">
        <is>
          <t>705</t>
        </is>
      </c>
      <c r="B707" t="inlineStr">
        <is>
          <t>LIBRE</t>
        </is>
      </c>
      <c r="C707" s="14" t="n"/>
      <c r="E707" s="15">
        <f>IF($G707&lt;&gt;"PAGADO","",IFERROR(IF(VLOOKUP($A707,COMPRADORES!$A:$D,4,FALSE)="NO","Reservado",LEFT(VLOOKUP($A707,COMPRADORES!$A:$D,2,FALSE),3)&amp;"***"&amp;IF(TRIM(MID(VLOOKUP($A707,COMPRADORES!$A:$D,2,FALSE)&amp;" ",FIND(" ",VLOOKUP($A707,COMPRADORES!$A:$D,2,FALSE)&amp;" ")+1,99))="",""," "&amp;LEFT(TRIM(MID(VLOOKUP($A707,COMPRADORES!$A:$D,2,FALSE)&amp;" ",FIND(" ",VLOOKUP($A707,COMPRADORES!$A:$D,2,FALSE)&amp;" ")+1,99)),1)&amp;".")),""))</f>
        <v/>
      </c>
      <c r="F707" s="16">
        <f>IF($B707="PAGADO",MID("ABCDEFGHIJ",INT(VALUE($A707)/100)+1,1)&amp;"-"&amp;$A707,"")</f>
        <v/>
      </c>
      <c r="G707" s="16">
        <f>IF($B707="PAGADO","PAGADO",IF($B707="APARTADO",IF(NOT(ISNUMBER($C707)),"APARTADO",IF($C707&lt;1,"APARTADO",IF(NOW()-$C707&gt;1,"LIBRE","APARTADO"))),"LIBRE"))</f>
        <v/>
      </c>
      <c r="H707" s="15">
        <f>IF($G707&lt;&gt;"APARTADO","",IF(NOT(ISNUMBER($C707)),"FALTA LA HORA",IF($C707&lt;1,"FALTA LA FECHA",TEXT($C707+1,"dd/mm hh:mm"))))</f>
        <v/>
      </c>
    </row>
    <row r="708">
      <c r="A708" s="13" t="inlineStr">
        <is>
          <t>706</t>
        </is>
      </c>
      <c r="B708" t="inlineStr">
        <is>
          <t>LIBRE</t>
        </is>
      </c>
      <c r="C708" s="14" t="n"/>
      <c r="E708" s="15">
        <f>IF($G708&lt;&gt;"PAGADO","",IFERROR(IF(VLOOKUP($A708,COMPRADORES!$A:$D,4,FALSE)="NO","Reservado",LEFT(VLOOKUP($A708,COMPRADORES!$A:$D,2,FALSE),3)&amp;"***"&amp;IF(TRIM(MID(VLOOKUP($A708,COMPRADORES!$A:$D,2,FALSE)&amp;" ",FIND(" ",VLOOKUP($A708,COMPRADORES!$A:$D,2,FALSE)&amp;" ")+1,99))="",""," "&amp;LEFT(TRIM(MID(VLOOKUP($A708,COMPRADORES!$A:$D,2,FALSE)&amp;" ",FIND(" ",VLOOKUP($A708,COMPRADORES!$A:$D,2,FALSE)&amp;" ")+1,99)),1)&amp;".")),""))</f>
        <v/>
      </c>
      <c r="F708" s="16">
        <f>IF($B708="PAGADO",MID("ABCDEFGHIJ",INT(VALUE($A708)/100)+1,1)&amp;"-"&amp;$A708,"")</f>
        <v/>
      </c>
      <c r="G708" s="16">
        <f>IF($B708="PAGADO","PAGADO",IF($B708="APARTADO",IF(NOT(ISNUMBER($C708)),"APARTADO",IF($C708&lt;1,"APARTADO",IF(NOW()-$C708&gt;1,"LIBRE","APARTADO"))),"LIBRE"))</f>
        <v/>
      </c>
      <c r="H708" s="15">
        <f>IF($G708&lt;&gt;"APARTADO","",IF(NOT(ISNUMBER($C708)),"FALTA LA HORA",IF($C708&lt;1,"FALTA LA FECHA",TEXT($C708+1,"dd/mm hh:mm"))))</f>
        <v/>
      </c>
    </row>
    <row r="709">
      <c r="A709" s="13" t="inlineStr">
        <is>
          <t>707</t>
        </is>
      </c>
      <c r="B709" t="inlineStr">
        <is>
          <t>LIBRE</t>
        </is>
      </c>
      <c r="C709" s="14" t="n"/>
      <c r="E709" s="15">
        <f>IF($G709&lt;&gt;"PAGADO","",IFERROR(IF(VLOOKUP($A709,COMPRADORES!$A:$D,4,FALSE)="NO","Reservado",LEFT(VLOOKUP($A709,COMPRADORES!$A:$D,2,FALSE),3)&amp;"***"&amp;IF(TRIM(MID(VLOOKUP($A709,COMPRADORES!$A:$D,2,FALSE)&amp;" ",FIND(" ",VLOOKUP($A709,COMPRADORES!$A:$D,2,FALSE)&amp;" ")+1,99))="",""," "&amp;LEFT(TRIM(MID(VLOOKUP($A709,COMPRADORES!$A:$D,2,FALSE)&amp;" ",FIND(" ",VLOOKUP($A709,COMPRADORES!$A:$D,2,FALSE)&amp;" ")+1,99)),1)&amp;".")),""))</f>
        <v/>
      </c>
      <c r="F709" s="16">
        <f>IF($B709="PAGADO",MID("ABCDEFGHIJ",INT(VALUE($A709)/100)+1,1)&amp;"-"&amp;$A709,"")</f>
        <v/>
      </c>
      <c r="G709" s="16">
        <f>IF($B709="PAGADO","PAGADO",IF($B709="APARTADO",IF(NOT(ISNUMBER($C709)),"APARTADO",IF($C709&lt;1,"APARTADO",IF(NOW()-$C709&gt;1,"LIBRE","APARTADO"))),"LIBRE"))</f>
        <v/>
      </c>
      <c r="H709" s="15">
        <f>IF($G709&lt;&gt;"APARTADO","",IF(NOT(ISNUMBER($C709)),"FALTA LA HORA",IF($C709&lt;1,"FALTA LA FECHA",TEXT($C709+1,"dd/mm hh:mm"))))</f>
        <v/>
      </c>
    </row>
    <row r="710">
      <c r="A710" s="13" t="inlineStr">
        <is>
          <t>708</t>
        </is>
      </c>
      <c r="B710" t="inlineStr">
        <is>
          <t>LIBRE</t>
        </is>
      </c>
      <c r="C710" s="14" t="n"/>
      <c r="E710" s="15">
        <f>IF($G710&lt;&gt;"PAGADO","",IFERROR(IF(VLOOKUP($A710,COMPRADORES!$A:$D,4,FALSE)="NO","Reservado",LEFT(VLOOKUP($A710,COMPRADORES!$A:$D,2,FALSE),3)&amp;"***"&amp;IF(TRIM(MID(VLOOKUP($A710,COMPRADORES!$A:$D,2,FALSE)&amp;" ",FIND(" ",VLOOKUP($A710,COMPRADORES!$A:$D,2,FALSE)&amp;" ")+1,99))="",""," "&amp;LEFT(TRIM(MID(VLOOKUP($A710,COMPRADORES!$A:$D,2,FALSE)&amp;" ",FIND(" ",VLOOKUP($A710,COMPRADORES!$A:$D,2,FALSE)&amp;" ")+1,99)),1)&amp;".")),""))</f>
        <v/>
      </c>
      <c r="F710" s="16">
        <f>IF($B710="PAGADO",MID("ABCDEFGHIJ",INT(VALUE($A710)/100)+1,1)&amp;"-"&amp;$A710,"")</f>
        <v/>
      </c>
      <c r="G710" s="16">
        <f>IF($B710="PAGADO","PAGADO",IF($B710="APARTADO",IF(NOT(ISNUMBER($C710)),"APARTADO",IF($C710&lt;1,"APARTADO",IF(NOW()-$C710&gt;1,"LIBRE","APARTADO"))),"LIBRE"))</f>
        <v/>
      </c>
      <c r="H710" s="15">
        <f>IF($G710&lt;&gt;"APARTADO","",IF(NOT(ISNUMBER($C710)),"FALTA LA HORA",IF($C710&lt;1,"FALTA LA FECHA",TEXT($C710+1,"dd/mm hh:mm"))))</f>
        <v/>
      </c>
    </row>
    <row r="711">
      <c r="A711" s="13" t="inlineStr">
        <is>
          <t>709</t>
        </is>
      </c>
      <c r="B711" t="inlineStr">
        <is>
          <t>LIBRE</t>
        </is>
      </c>
      <c r="C711" s="14" t="n"/>
      <c r="E711" s="15">
        <f>IF($G711&lt;&gt;"PAGADO","",IFERROR(IF(VLOOKUP($A711,COMPRADORES!$A:$D,4,FALSE)="NO","Reservado",LEFT(VLOOKUP($A711,COMPRADORES!$A:$D,2,FALSE),3)&amp;"***"&amp;IF(TRIM(MID(VLOOKUP($A711,COMPRADORES!$A:$D,2,FALSE)&amp;" ",FIND(" ",VLOOKUP($A711,COMPRADORES!$A:$D,2,FALSE)&amp;" ")+1,99))="",""," "&amp;LEFT(TRIM(MID(VLOOKUP($A711,COMPRADORES!$A:$D,2,FALSE)&amp;" ",FIND(" ",VLOOKUP($A711,COMPRADORES!$A:$D,2,FALSE)&amp;" ")+1,99)),1)&amp;".")),""))</f>
        <v/>
      </c>
      <c r="F711" s="16">
        <f>IF($B711="PAGADO",MID("ABCDEFGHIJ",INT(VALUE($A711)/100)+1,1)&amp;"-"&amp;$A711,"")</f>
        <v/>
      </c>
      <c r="G711" s="16">
        <f>IF($B711="PAGADO","PAGADO",IF($B711="APARTADO",IF(NOT(ISNUMBER($C711)),"APARTADO",IF($C711&lt;1,"APARTADO",IF(NOW()-$C711&gt;1,"LIBRE","APARTADO"))),"LIBRE"))</f>
        <v/>
      </c>
      <c r="H711" s="15">
        <f>IF($G711&lt;&gt;"APARTADO","",IF(NOT(ISNUMBER($C711)),"FALTA LA HORA",IF($C711&lt;1,"FALTA LA FECHA",TEXT($C711+1,"dd/mm hh:mm"))))</f>
        <v/>
      </c>
    </row>
    <row r="712">
      <c r="A712" s="13" t="inlineStr">
        <is>
          <t>710</t>
        </is>
      </c>
      <c r="B712" t="inlineStr">
        <is>
          <t>LIBRE</t>
        </is>
      </c>
      <c r="C712" s="14" t="n"/>
      <c r="E712" s="15">
        <f>IF($G712&lt;&gt;"PAGADO","",IFERROR(IF(VLOOKUP($A712,COMPRADORES!$A:$D,4,FALSE)="NO","Reservado",LEFT(VLOOKUP($A712,COMPRADORES!$A:$D,2,FALSE),3)&amp;"***"&amp;IF(TRIM(MID(VLOOKUP($A712,COMPRADORES!$A:$D,2,FALSE)&amp;" ",FIND(" ",VLOOKUP($A712,COMPRADORES!$A:$D,2,FALSE)&amp;" ")+1,99))="",""," "&amp;LEFT(TRIM(MID(VLOOKUP($A712,COMPRADORES!$A:$D,2,FALSE)&amp;" ",FIND(" ",VLOOKUP($A712,COMPRADORES!$A:$D,2,FALSE)&amp;" ")+1,99)),1)&amp;".")),""))</f>
        <v/>
      </c>
      <c r="F712" s="16">
        <f>IF($B712="PAGADO",MID("ABCDEFGHIJ",INT(VALUE($A712)/100)+1,1)&amp;"-"&amp;$A712,"")</f>
        <v/>
      </c>
      <c r="G712" s="16">
        <f>IF($B712="PAGADO","PAGADO",IF($B712="APARTADO",IF(NOT(ISNUMBER($C712)),"APARTADO",IF($C712&lt;1,"APARTADO",IF(NOW()-$C712&gt;1,"LIBRE","APARTADO"))),"LIBRE"))</f>
        <v/>
      </c>
      <c r="H712" s="15">
        <f>IF($G712&lt;&gt;"APARTADO","",IF(NOT(ISNUMBER($C712)),"FALTA LA HORA",IF($C712&lt;1,"FALTA LA FECHA",TEXT($C712+1,"dd/mm hh:mm"))))</f>
        <v/>
      </c>
    </row>
    <row r="713">
      <c r="A713" s="13" t="inlineStr">
        <is>
          <t>711</t>
        </is>
      </c>
      <c r="B713" t="inlineStr">
        <is>
          <t>LIBRE</t>
        </is>
      </c>
      <c r="C713" s="14" t="n"/>
      <c r="E713" s="15">
        <f>IF($G713&lt;&gt;"PAGADO","",IFERROR(IF(VLOOKUP($A713,COMPRADORES!$A:$D,4,FALSE)="NO","Reservado",LEFT(VLOOKUP($A713,COMPRADORES!$A:$D,2,FALSE),3)&amp;"***"&amp;IF(TRIM(MID(VLOOKUP($A713,COMPRADORES!$A:$D,2,FALSE)&amp;" ",FIND(" ",VLOOKUP($A713,COMPRADORES!$A:$D,2,FALSE)&amp;" ")+1,99))="",""," "&amp;LEFT(TRIM(MID(VLOOKUP($A713,COMPRADORES!$A:$D,2,FALSE)&amp;" ",FIND(" ",VLOOKUP($A713,COMPRADORES!$A:$D,2,FALSE)&amp;" ")+1,99)),1)&amp;".")),""))</f>
        <v/>
      </c>
      <c r="F713" s="16">
        <f>IF($B713="PAGADO",MID("ABCDEFGHIJ",INT(VALUE($A713)/100)+1,1)&amp;"-"&amp;$A713,"")</f>
        <v/>
      </c>
      <c r="G713" s="16">
        <f>IF($B713="PAGADO","PAGADO",IF($B713="APARTADO",IF(NOT(ISNUMBER($C713)),"APARTADO",IF($C713&lt;1,"APARTADO",IF(NOW()-$C713&gt;1,"LIBRE","APARTADO"))),"LIBRE"))</f>
        <v/>
      </c>
      <c r="H713" s="15">
        <f>IF($G713&lt;&gt;"APARTADO","",IF(NOT(ISNUMBER($C713)),"FALTA LA HORA",IF($C713&lt;1,"FALTA LA FECHA",TEXT($C713+1,"dd/mm hh:mm"))))</f>
        <v/>
      </c>
    </row>
    <row r="714">
      <c r="A714" s="13" t="inlineStr">
        <is>
          <t>712</t>
        </is>
      </c>
      <c r="B714" t="inlineStr">
        <is>
          <t>LIBRE</t>
        </is>
      </c>
      <c r="C714" s="14" t="n"/>
      <c r="E714" s="15">
        <f>IF($G714&lt;&gt;"PAGADO","",IFERROR(IF(VLOOKUP($A714,COMPRADORES!$A:$D,4,FALSE)="NO","Reservado",LEFT(VLOOKUP($A714,COMPRADORES!$A:$D,2,FALSE),3)&amp;"***"&amp;IF(TRIM(MID(VLOOKUP($A714,COMPRADORES!$A:$D,2,FALSE)&amp;" ",FIND(" ",VLOOKUP($A714,COMPRADORES!$A:$D,2,FALSE)&amp;" ")+1,99))="",""," "&amp;LEFT(TRIM(MID(VLOOKUP($A714,COMPRADORES!$A:$D,2,FALSE)&amp;" ",FIND(" ",VLOOKUP($A714,COMPRADORES!$A:$D,2,FALSE)&amp;" ")+1,99)),1)&amp;".")),""))</f>
        <v/>
      </c>
      <c r="F714" s="16">
        <f>IF($B714="PAGADO",MID("ABCDEFGHIJ",INT(VALUE($A714)/100)+1,1)&amp;"-"&amp;$A714,"")</f>
        <v/>
      </c>
      <c r="G714" s="16">
        <f>IF($B714="PAGADO","PAGADO",IF($B714="APARTADO",IF(NOT(ISNUMBER($C714)),"APARTADO",IF($C714&lt;1,"APARTADO",IF(NOW()-$C714&gt;1,"LIBRE","APARTADO"))),"LIBRE"))</f>
        <v/>
      </c>
      <c r="H714" s="15">
        <f>IF($G714&lt;&gt;"APARTADO","",IF(NOT(ISNUMBER($C714)),"FALTA LA HORA",IF($C714&lt;1,"FALTA LA FECHA",TEXT($C714+1,"dd/mm hh:mm"))))</f>
        <v/>
      </c>
    </row>
    <row r="715">
      <c r="A715" s="13" t="inlineStr">
        <is>
          <t>713</t>
        </is>
      </c>
      <c r="B715" t="inlineStr">
        <is>
          <t>LIBRE</t>
        </is>
      </c>
      <c r="C715" s="14" t="n"/>
      <c r="E715" s="15">
        <f>IF($G715&lt;&gt;"PAGADO","",IFERROR(IF(VLOOKUP($A715,COMPRADORES!$A:$D,4,FALSE)="NO","Reservado",LEFT(VLOOKUP($A715,COMPRADORES!$A:$D,2,FALSE),3)&amp;"***"&amp;IF(TRIM(MID(VLOOKUP($A715,COMPRADORES!$A:$D,2,FALSE)&amp;" ",FIND(" ",VLOOKUP($A715,COMPRADORES!$A:$D,2,FALSE)&amp;" ")+1,99))="",""," "&amp;LEFT(TRIM(MID(VLOOKUP($A715,COMPRADORES!$A:$D,2,FALSE)&amp;" ",FIND(" ",VLOOKUP($A715,COMPRADORES!$A:$D,2,FALSE)&amp;" ")+1,99)),1)&amp;".")),""))</f>
        <v/>
      </c>
      <c r="F715" s="16">
        <f>IF($B715="PAGADO",MID("ABCDEFGHIJ",INT(VALUE($A715)/100)+1,1)&amp;"-"&amp;$A715,"")</f>
        <v/>
      </c>
      <c r="G715" s="16">
        <f>IF($B715="PAGADO","PAGADO",IF($B715="APARTADO",IF(NOT(ISNUMBER($C715)),"APARTADO",IF($C715&lt;1,"APARTADO",IF(NOW()-$C715&gt;1,"LIBRE","APARTADO"))),"LIBRE"))</f>
        <v/>
      </c>
      <c r="H715" s="15">
        <f>IF($G715&lt;&gt;"APARTADO","",IF(NOT(ISNUMBER($C715)),"FALTA LA HORA",IF($C715&lt;1,"FALTA LA FECHA",TEXT($C715+1,"dd/mm hh:mm"))))</f>
        <v/>
      </c>
    </row>
    <row r="716">
      <c r="A716" s="13" t="inlineStr">
        <is>
          <t>714</t>
        </is>
      </c>
      <c r="B716" t="inlineStr">
        <is>
          <t>LIBRE</t>
        </is>
      </c>
      <c r="C716" s="14" t="n"/>
      <c r="E716" s="15">
        <f>IF($G716&lt;&gt;"PAGADO","",IFERROR(IF(VLOOKUP($A716,COMPRADORES!$A:$D,4,FALSE)="NO","Reservado",LEFT(VLOOKUP($A716,COMPRADORES!$A:$D,2,FALSE),3)&amp;"***"&amp;IF(TRIM(MID(VLOOKUP($A716,COMPRADORES!$A:$D,2,FALSE)&amp;" ",FIND(" ",VLOOKUP($A716,COMPRADORES!$A:$D,2,FALSE)&amp;" ")+1,99))="",""," "&amp;LEFT(TRIM(MID(VLOOKUP($A716,COMPRADORES!$A:$D,2,FALSE)&amp;" ",FIND(" ",VLOOKUP($A716,COMPRADORES!$A:$D,2,FALSE)&amp;" ")+1,99)),1)&amp;".")),""))</f>
        <v/>
      </c>
      <c r="F716" s="16">
        <f>IF($B716="PAGADO",MID("ABCDEFGHIJ",INT(VALUE($A716)/100)+1,1)&amp;"-"&amp;$A716,"")</f>
        <v/>
      </c>
      <c r="G716" s="16">
        <f>IF($B716="PAGADO","PAGADO",IF($B716="APARTADO",IF(NOT(ISNUMBER($C716)),"APARTADO",IF($C716&lt;1,"APARTADO",IF(NOW()-$C716&gt;1,"LIBRE","APARTADO"))),"LIBRE"))</f>
        <v/>
      </c>
      <c r="H716" s="15">
        <f>IF($G716&lt;&gt;"APARTADO","",IF(NOT(ISNUMBER($C716)),"FALTA LA HORA",IF($C716&lt;1,"FALTA LA FECHA",TEXT($C716+1,"dd/mm hh:mm"))))</f>
        <v/>
      </c>
    </row>
    <row r="717">
      <c r="A717" s="13" t="inlineStr">
        <is>
          <t>715</t>
        </is>
      </c>
      <c r="B717" t="inlineStr">
        <is>
          <t>LIBRE</t>
        </is>
      </c>
      <c r="C717" s="14" t="n"/>
      <c r="E717" s="15">
        <f>IF($G717&lt;&gt;"PAGADO","",IFERROR(IF(VLOOKUP($A717,COMPRADORES!$A:$D,4,FALSE)="NO","Reservado",LEFT(VLOOKUP($A717,COMPRADORES!$A:$D,2,FALSE),3)&amp;"***"&amp;IF(TRIM(MID(VLOOKUP($A717,COMPRADORES!$A:$D,2,FALSE)&amp;" ",FIND(" ",VLOOKUP($A717,COMPRADORES!$A:$D,2,FALSE)&amp;" ")+1,99))="",""," "&amp;LEFT(TRIM(MID(VLOOKUP($A717,COMPRADORES!$A:$D,2,FALSE)&amp;" ",FIND(" ",VLOOKUP($A717,COMPRADORES!$A:$D,2,FALSE)&amp;" ")+1,99)),1)&amp;".")),""))</f>
        <v/>
      </c>
      <c r="F717" s="16">
        <f>IF($B717="PAGADO",MID("ABCDEFGHIJ",INT(VALUE($A717)/100)+1,1)&amp;"-"&amp;$A717,"")</f>
        <v/>
      </c>
      <c r="G717" s="16">
        <f>IF($B717="PAGADO","PAGADO",IF($B717="APARTADO",IF(NOT(ISNUMBER($C717)),"APARTADO",IF($C717&lt;1,"APARTADO",IF(NOW()-$C717&gt;1,"LIBRE","APARTADO"))),"LIBRE"))</f>
        <v/>
      </c>
      <c r="H717" s="15">
        <f>IF($G717&lt;&gt;"APARTADO","",IF(NOT(ISNUMBER($C717)),"FALTA LA HORA",IF($C717&lt;1,"FALTA LA FECHA",TEXT($C717+1,"dd/mm hh:mm"))))</f>
        <v/>
      </c>
    </row>
    <row r="718">
      <c r="A718" s="13" t="inlineStr">
        <is>
          <t>716</t>
        </is>
      </c>
      <c r="B718" t="inlineStr">
        <is>
          <t>LIBRE</t>
        </is>
      </c>
      <c r="C718" s="14" t="n"/>
      <c r="E718" s="15">
        <f>IF($G718&lt;&gt;"PAGADO","",IFERROR(IF(VLOOKUP($A718,COMPRADORES!$A:$D,4,FALSE)="NO","Reservado",LEFT(VLOOKUP($A718,COMPRADORES!$A:$D,2,FALSE),3)&amp;"***"&amp;IF(TRIM(MID(VLOOKUP($A718,COMPRADORES!$A:$D,2,FALSE)&amp;" ",FIND(" ",VLOOKUP($A718,COMPRADORES!$A:$D,2,FALSE)&amp;" ")+1,99))="",""," "&amp;LEFT(TRIM(MID(VLOOKUP($A718,COMPRADORES!$A:$D,2,FALSE)&amp;" ",FIND(" ",VLOOKUP($A718,COMPRADORES!$A:$D,2,FALSE)&amp;" ")+1,99)),1)&amp;".")),""))</f>
        <v/>
      </c>
      <c r="F718" s="16">
        <f>IF($B718="PAGADO",MID("ABCDEFGHIJ",INT(VALUE($A718)/100)+1,1)&amp;"-"&amp;$A718,"")</f>
        <v/>
      </c>
      <c r="G718" s="16">
        <f>IF($B718="PAGADO","PAGADO",IF($B718="APARTADO",IF(NOT(ISNUMBER($C718)),"APARTADO",IF($C718&lt;1,"APARTADO",IF(NOW()-$C718&gt;1,"LIBRE","APARTADO"))),"LIBRE"))</f>
        <v/>
      </c>
      <c r="H718" s="15">
        <f>IF($G718&lt;&gt;"APARTADO","",IF(NOT(ISNUMBER($C718)),"FALTA LA HORA",IF($C718&lt;1,"FALTA LA FECHA",TEXT($C718+1,"dd/mm hh:mm"))))</f>
        <v/>
      </c>
    </row>
    <row r="719">
      <c r="A719" s="13" t="inlineStr">
        <is>
          <t>717</t>
        </is>
      </c>
      <c r="B719" t="inlineStr">
        <is>
          <t>LIBRE</t>
        </is>
      </c>
      <c r="C719" s="14" t="n"/>
      <c r="E719" s="15">
        <f>IF($G719&lt;&gt;"PAGADO","",IFERROR(IF(VLOOKUP($A719,COMPRADORES!$A:$D,4,FALSE)="NO","Reservado",LEFT(VLOOKUP($A719,COMPRADORES!$A:$D,2,FALSE),3)&amp;"***"&amp;IF(TRIM(MID(VLOOKUP($A719,COMPRADORES!$A:$D,2,FALSE)&amp;" ",FIND(" ",VLOOKUP($A719,COMPRADORES!$A:$D,2,FALSE)&amp;" ")+1,99))="",""," "&amp;LEFT(TRIM(MID(VLOOKUP($A719,COMPRADORES!$A:$D,2,FALSE)&amp;" ",FIND(" ",VLOOKUP($A719,COMPRADORES!$A:$D,2,FALSE)&amp;" ")+1,99)),1)&amp;".")),""))</f>
        <v/>
      </c>
      <c r="F719" s="16">
        <f>IF($B719="PAGADO",MID("ABCDEFGHIJ",INT(VALUE($A719)/100)+1,1)&amp;"-"&amp;$A719,"")</f>
        <v/>
      </c>
      <c r="G719" s="16">
        <f>IF($B719="PAGADO","PAGADO",IF($B719="APARTADO",IF(NOT(ISNUMBER($C719)),"APARTADO",IF($C719&lt;1,"APARTADO",IF(NOW()-$C719&gt;1,"LIBRE","APARTADO"))),"LIBRE"))</f>
        <v/>
      </c>
      <c r="H719" s="15">
        <f>IF($G719&lt;&gt;"APARTADO","",IF(NOT(ISNUMBER($C719)),"FALTA LA HORA",IF($C719&lt;1,"FALTA LA FECHA",TEXT($C719+1,"dd/mm hh:mm"))))</f>
        <v/>
      </c>
    </row>
    <row r="720">
      <c r="A720" s="13" t="inlineStr">
        <is>
          <t>718</t>
        </is>
      </c>
      <c r="B720" t="inlineStr">
        <is>
          <t>LIBRE</t>
        </is>
      </c>
      <c r="C720" s="14" t="n"/>
      <c r="E720" s="15">
        <f>IF($G720&lt;&gt;"PAGADO","",IFERROR(IF(VLOOKUP($A720,COMPRADORES!$A:$D,4,FALSE)="NO","Reservado",LEFT(VLOOKUP($A720,COMPRADORES!$A:$D,2,FALSE),3)&amp;"***"&amp;IF(TRIM(MID(VLOOKUP($A720,COMPRADORES!$A:$D,2,FALSE)&amp;" ",FIND(" ",VLOOKUP($A720,COMPRADORES!$A:$D,2,FALSE)&amp;" ")+1,99))="",""," "&amp;LEFT(TRIM(MID(VLOOKUP($A720,COMPRADORES!$A:$D,2,FALSE)&amp;" ",FIND(" ",VLOOKUP($A720,COMPRADORES!$A:$D,2,FALSE)&amp;" ")+1,99)),1)&amp;".")),""))</f>
        <v/>
      </c>
      <c r="F720" s="16">
        <f>IF($B720="PAGADO",MID("ABCDEFGHIJ",INT(VALUE($A720)/100)+1,1)&amp;"-"&amp;$A720,"")</f>
        <v/>
      </c>
      <c r="G720" s="16">
        <f>IF($B720="PAGADO","PAGADO",IF($B720="APARTADO",IF(NOT(ISNUMBER($C720)),"APARTADO",IF($C720&lt;1,"APARTADO",IF(NOW()-$C720&gt;1,"LIBRE","APARTADO"))),"LIBRE"))</f>
        <v/>
      </c>
      <c r="H720" s="15">
        <f>IF($G720&lt;&gt;"APARTADO","",IF(NOT(ISNUMBER($C720)),"FALTA LA HORA",IF($C720&lt;1,"FALTA LA FECHA",TEXT($C720+1,"dd/mm hh:mm"))))</f>
        <v/>
      </c>
    </row>
    <row r="721">
      <c r="A721" s="13" t="inlineStr">
        <is>
          <t>719</t>
        </is>
      </c>
      <c r="B721" t="inlineStr">
        <is>
          <t>LIBRE</t>
        </is>
      </c>
      <c r="C721" s="14" t="n"/>
      <c r="E721" s="15">
        <f>IF($G721&lt;&gt;"PAGADO","",IFERROR(IF(VLOOKUP($A721,COMPRADORES!$A:$D,4,FALSE)="NO","Reservado",LEFT(VLOOKUP($A721,COMPRADORES!$A:$D,2,FALSE),3)&amp;"***"&amp;IF(TRIM(MID(VLOOKUP($A721,COMPRADORES!$A:$D,2,FALSE)&amp;" ",FIND(" ",VLOOKUP($A721,COMPRADORES!$A:$D,2,FALSE)&amp;" ")+1,99))="",""," "&amp;LEFT(TRIM(MID(VLOOKUP($A721,COMPRADORES!$A:$D,2,FALSE)&amp;" ",FIND(" ",VLOOKUP($A721,COMPRADORES!$A:$D,2,FALSE)&amp;" ")+1,99)),1)&amp;".")),""))</f>
        <v/>
      </c>
      <c r="F721" s="16">
        <f>IF($B721="PAGADO",MID("ABCDEFGHIJ",INT(VALUE($A721)/100)+1,1)&amp;"-"&amp;$A721,"")</f>
        <v/>
      </c>
      <c r="G721" s="16">
        <f>IF($B721="PAGADO","PAGADO",IF($B721="APARTADO",IF(NOT(ISNUMBER($C721)),"APARTADO",IF($C721&lt;1,"APARTADO",IF(NOW()-$C721&gt;1,"LIBRE","APARTADO"))),"LIBRE"))</f>
        <v/>
      </c>
      <c r="H721" s="15">
        <f>IF($G721&lt;&gt;"APARTADO","",IF(NOT(ISNUMBER($C721)),"FALTA LA HORA",IF($C721&lt;1,"FALTA LA FECHA",TEXT($C721+1,"dd/mm hh:mm"))))</f>
        <v/>
      </c>
    </row>
    <row r="722">
      <c r="A722" s="13" t="inlineStr">
        <is>
          <t>720</t>
        </is>
      </c>
      <c r="B722" t="inlineStr">
        <is>
          <t>LIBRE</t>
        </is>
      </c>
      <c r="C722" s="14" t="n"/>
      <c r="E722" s="15">
        <f>IF($G722&lt;&gt;"PAGADO","",IFERROR(IF(VLOOKUP($A722,COMPRADORES!$A:$D,4,FALSE)="NO","Reservado",LEFT(VLOOKUP($A722,COMPRADORES!$A:$D,2,FALSE),3)&amp;"***"&amp;IF(TRIM(MID(VLOOKUP($A722,COMPRADORES!$A:$D,2,FALSE)&amp;" ",FIND(" ",VLOOKUP($A722,COMPRADORES!$A:$D,2,FALSE)&amp;" ")+1,99))="",""," "&amp;LEFT(TRIM(MID(VLOOKUP($A722,COMPRADORES!$A:$D,2,FALSE)&amp;" ",FIND(" ",VLOOKUP($A722,COMPRADORES!$A:$D,2,FALSE)&amp;" ")+1,99)),1)&amp;".")),""))</f>
        <v/>
      </c>
      <c r="F722" s="16">
        <f>IF($B722="PAGADO",MID("ABCDEFGHIJ",INT(VALUE($A722)/100)+1,1)&amp;"-"&amp;$A722,"")</f>
        <v/>
      </c>
      <c r="G722" s="16">
        <f>IF($B722="PAGADO","PAGADO",IF($B722="APARTADO",IF(NOT(ISNUMBER($C722)),"APARTADO",IF($C722&lt;1,"APARTADO",IF(NOW()-$C722&gt;1,"LIBRE","APARTADO"))),"LIBRE"))</f>
        <v/>
      </c>
      <c r="H722" s="15">
        <f>IF($G722&lt;&gt;"APARTADO","",IF(NOT(ISNUMBER($C722)),"FALTA LA HORA",IF($C722&lt;1,"FALTA LA FECHA",TEXT($C722+1,"dd/mm hh:mm"))))</f>
        <v/>
      </c>
    </row>
    <row r="723">
      <c r="A723" s="13" t="inlineStr">
        <is>
          <t>721</t>
        </is>
      </c>
      <c r="B723" t="inlineStr">
        <is>
          <t>LIBRE</t>
        </is>
      </c>
      <c r="C723" s="14" t="n"/>
      <c r="E723" s="15">
        <f>IF($G723&lt;&gt;"PAGADO","",IFERROR(IF(VLOOKUP($A723,COMPRADORES!$A:$D,4,FALSE)="NO","Reservado",LEFT(VLOOKUP($A723,COMPRADORES!$A:$D,2,FALSE),3)&amp;"***"&amp;IF(TRIM(MID(VLOOKUP($A723,COMPRADORES!$A:$D,2,FALSE)&amp;" ",FIND(" ",VLOOKUP($A723,COMPRADORES!$A:$D,2,FALSE)&amp;" ")+1,99))="",""," "&amp;LEFT(TRIM(MID(VLOOKUP($A723,COMPRADORES!$A:$D,2,FALSE)&amp;" ",FIND(" ",VLOOKUP($A723,COMPRADORES!$A:$D,2,FALSE)&amp;" ")+1,99)),1)&amp;".")),""))</f>
        <v/>
      </c>
      <c r="F723" s="16">
        <f>IF($B723="PAGADO",MID("ABCDEFGHIJ",INT(VALUE($A723)/100)+1,1)&amp;"-"&amp;$A723,"")</f>
        <v/>
      </c>
      <c r="G723" s="16">
        <f>IF($B723="PAGADO","PAGADO",IF($B723="APARTADO",IF(NOT(ISNUMBER($C723)),"APARTADO",IF($C723&lt;1,"APARTADO",IF(NOW()-$C723&gt;1,"LIBRE","APARTADO"))),"LIBRE"))</f>
        <v/>
      </c>
      <c r="H723" s="15">
        <f>IF($G723&lt;&gt;"APARTADO","",IF(NOT(ISNUMBER($C723)),"FALTA LA HORA",IF($C723&lt;1,"FALTA LA FECHA",TEXT($C723+1,"dd/mm hh:mm"))))</f>
        <v/>
      </c>
    </row>
    <row r="724">
      <c r="A724" s="13" t="inlineStr">
        <is>
          <t>722</t>
        </is>
      </c>
      <c r="B724" t="inlineStr">
        <is>
          <t>LIBRE</t>
        </is>
      </c>
      <c r="C724" s="14" t="n"/>
      <c r="E724" s="15">
        <f>IF($G724&lt;&gt;"PAGADO","",IFERROR(IF(VLOOKUP($A724,COMPRADORES!$A:$D,4,FALSE)="NO","Reservado",LEFT(VLOOKUP($A724,COMPRADORES!$A:$D,2,FALSE),3)&amp;"***"&amp;IF(TRIM(MID(VLOOKUP($A724,COMPRADORES!$A:$D,2,FALSE)&amp;" ",FIND(" ",VLOOKUP($A724,COMPRADORES!$A:$D,2,FALSE)&amp;" ")+1,99))="",""," "&amp;LEFT(TRIM(MID(VLOOKUP($A724,COMPRADORES!$A:$D,2,FALSE)&amp;" ",FIND(" ",VLOOKUP($A724,COMPRADORES!$A:$D,2,FALSE)&amp;" ")+1,99)),1)&amp;".")),""))</f>
        <v/>
      </c>
      <c r="F724" s="16">
        <f>IF($B724="PAGADO",MID("ABCDEFGHIJ",INT(VALUE($A724)/100)+1,1)&amp;"-"&amp;$A724,"")</f>
        <v/>
      </c>
      <c r="G724" s="16">
        <f>IF($B724="PAGADO","PAGADO",IF($B724="APARTADO",IF(NOT(ISNUMBER($C724)),"APARTADO",IF($C724&lt;1,"APARTADO",IF(NOW()-$C724&gt;1,"LIBRE","APARTADO"))),"LIBRE"))</f>
        <v/>
      </c>
      <c r="H724" s="15">
        <f>IF($G724&lt;&gt;"APARTADO","",IF(NOT(ISNUMBER($C724)),"FALTA LA HORA",IF($C724&lt;1,"FALTA LA FECHA",TEXT($C724+1,"dd/mm hh:mm"))))</f>
        <v/>
      </c>
    </row>
    <row r="725">
      <c r="A725" s="13" t="inlineStr">
        <is>
          <t>723</t>
        </is>
      </c>
      <c r="B725" t="inlineStr">
        <is>
          <t>LIBRE</t>
        </is>
      </c>
      <c r="C725" s="14" t="n"/>
      <c r="E725" s="15">
        <f>IF($G725&lt;&gt;"PAGADO","",IFERROR(IF(VLOOKUP($A725,COMPRADORES!$A:$D,4,FALSE)="NO","Reservado",LEFT(VLOOKUP($A725,COMPRADORES!$A:$D,2,FALSE),3)&amp;"***"&amp;IF(TRIM(MID(VLOOKUP($A725,COMPRADORES!$A:$D,2,FALSE)&amp;" ",FIND(" ",VLOOKUP($A725,COMPRADORES!$A:$D,2,FALSE)&amp;" ")+1,99))="",""," "&amp;LEFT(TRIM(MID(VLOOKUP($A725,COMPRADORES!$A:$D,2,FALSE)&amp;" ",FIND(" ",VLOOKUP($A725,COMPRADORES!$A:$D,2,FALSE)&amp;" ")+1,99)),1)&amp;".")),""))</f>
        <v/>
      </c>
      <c r="F725" s="16">
        <f>IF($B725="PAGADO",MID("ABCDEFGHIJ",INT(VALUE($A725)/100)+1,1)&amp;"-"&amp;$A725,"")</f>
        <v/>
      </c>
      <c r="G725" s="16">
        <f>IF($B725="PAGADO","PAGADO",IF($B725="APARTADO",IF(NOT(ISNUMBER($C725)),"APARTADO",IF($C725&lt;1,"APARTADO",IF(NOW()-$C725&gt;1,"LIBRE","APARTADO"))),"LIBRE"))</f>
        <v/>
      </c>
      <c r="H725" s="15">
        <f>IF($G725&lt;&gt;"APARTADO","",IF(NOT(ISNUMBER($C725)),"FALTA LA HORA",IF($C725&lt;1,"FALTA LA FECHA",TEXT($C725+1,"dd/mm hh:mm"))))</f>
        <v/>
      </c>
    </row>
    <row r="726">
      <c r="A726" s="13" t="inlineStr">
        <is>
          <t>724</t>
        </is>
      </c>
      <c r="B726" t="inlineStr">
        <is>
          <t>LIBRE</t>
        </is>
      </c>
      <c r="C726" s="14" t="n"/>
      <c r="E726" s="15">
        <f>IF($G726&lt;&gt;"PAGADO","",IFERROR(IF(VLOOKUP($A726,COMPRADORES!$A:$D,4,FALSE)="NO","Reservado",LEFT(VLOOKUP($A726,COMPRADORES!$A:$D,2,FALSE),3)&amp;"***"&amp;IF(TRIM(MID(VLOOKUP($A726,COMPRADORES!$A:$D,2,FALSE)&amp;" ",FIND(" ",VLOOKUP($A726,COMPRADORES!$A:$D,2,FALSE)&amp;" ")+1,99))="",""," "&amp;LEFT(TRIM(MID(VLOOKUP($A726,COMPRADORES!$A:$D,2,FALSE)&amp;" ",FIND(" ",VLOOKUP($A726,COMPRADORES!$A:$D,2,FALSE)&amp;" ")+1,99)),1)&amp;".")),""))</f>
        <v/>
      </c>
      <c r="F726" s="16">
        <f>IF($B726="PAGADO",MID("ABCDEFGHIJ",INT(VALUE($A726)/100)+1,1)&amp;"-"&amp;$A726,"")</f>
        <v/>
      </c>
      <c r="G726" s="16">
        <f>IF($B726="PAGADO","PAGADO",IF($B726="APARTADO",IF(NOT(ISNUMBER($C726)),"APARTADO",IF($C726&lt;1,"APARTADO",IF(NOW()-$C726&gt;1,"LIBRE","APARTADO"))),"LIBRE"))</f>
        <v/>
      </c>
      <c r="H726" s="15">
        <f>IF($G726&lt;&gt;"APARTADO","",IF(NOT(ISNUMBER($C726)),"FALTA LA HORA",IF($C726&lt;1,"FALTA LA FECHA",TEXT($C726+1,"dd/mm hh:mm"))))</f>
        <v/>
      </c>
    </row>
    <row r="727">
      <c r="A727" s="13" t="inlineStr">
        <is>
          <t>725</t>
        </is>
      </c>
      <c r="B727" t="inlineStr">
        <is>
          <t>LIBRE</t>
        </is>
      </c>
      <c r="C727" s="14" t="n"/>
      <c r="E727" s="15">
        <f>IF($G727&lt;&gt;"PAGADO","",IFERROR(IF(VLOOKUP($A727,COMPRADORES!$A:$D,4,FALSE)="NO","Reservado",LEFT(VLOOKUP($A727,COMPRADORES!$A:$D,2,FALSE),3)&amp;"***"&amp;IF(TRIM(MID(VLOOKUP($A727,COMPRADORES!$A:$D,2,FALSE)&amp;" ",FIND(" ",VLOOKUP($A727,COMPRADORES!$A:$D,2,FALSE)&amp;" ")+1,99))="",""," "&amp;LEFT(TRIM(MID(VLOOKUP($A727,COMPRADORES!$A:$D,2,FALSE)&amp;" ",FIND(" ",VLOOKUP($A727,COMPRADORES!$A:$D,2,FALSE)&amp;" ")+1,99)),1)&amp;".")),""))</f>
        <v/>
      </c>
      <c r="F727" s="16">
        <f>IF($B727="PAGADO",MID("ABCDEFGHIJ",INT(VALUE($A727)/100)+1,1)&amp;"-"&amp;$A727,"")</f>
        <v/>
      </c>
      <c r="G727" s="16">
        <f>IF($B727="PAGADO","PAGADO",IF($B727="APARTADO",IF(NOT(ISNUMBER($C727)),"APARTADO",IF($C727&lt;1,"APARTADO",IF(NOW()-$C727&gt;1,"LIBRE","APARTADO"))),"LIBRE"))</f>
        <v/>
      </c>
      <c r="H727" s="15">
        <f>IF($G727&lt;&gt;"APARTADO","",IF(NOT(ISNUMBER($C727)),"FALTA LA HORA",IF($C727&lt;1,"FALTA LA FECHA",TEXT($C727+1,"dd/mm hh:mm"))))</f>
        <v/>
      </c>
    </row>
    <row r="728">
      <c r="A728" s="13" t="inlineStr">
        <is>
          <t>726</t>
        </is>
      </c>
      <c r="B728" t="inlineStr">
        <is>
          <t>LIBRE</t>
        </is>
      </c>
      <c r="C728" s="14" t="n"/>
      <c r="E728" s="15">
        <f>IF($G728&lt;&gt;"PAGADO","",IFERROR(IF(VLOOKUP($A728,COMPRADORES!$A:$D,4,FALSE)="NO","Reservado",LEFT(VLOOKUP($A728,COMPRADORES!$A:$D,2,FALSE),3)&amp;"***"&amp;IF(TRIM(MID(VLOOKUP($A728,COMPRADORES!$A:$D,2,FALSE)&amp;" ",FIND(" ",VLOOKUP($A728,COMPRADORES!$A:$D,2,FALSE)&amp;" ")+1,99))="",""," "&amp;LEFT(TRIM(MID(VLOOKUP($A728,COMPRADORES!$A:$D,2,FALSE)&amp;" ",FIND(" ",VLOOKUP($A728,COMPRADORES!$A:$D,2,FALSE)&amp;" ")+1,99)),1)&amp;".")),""))</f>
        <v/>
      </c>
      <c r="F728" s="16">
        <f>IF($B728="PAGADO",MID("ABCDEFGHIJ",INT(VALUE($A728)/100)+1,1)&amp;"-"&amp;$A728,"")</f>
        <v/>
      </c>
      <c r="G728" s="16">
        <f>IF($B728="PAGADO","PAGADO",IF($B728="APARTADO",IF(NOT(ISNUMBER($C728)),"APARTADO",IF($C728&lt;1,"APARTADO",IF(NOW()-$C728&gt;1,"LIBRE","APARTADO"))),"LIBRE"))</f>
        <v/>
      </c>
      <c r="H728" s="15">
        <f>IF($G728&lt;&gt;"APARTADO","",IF(NOT(ISNUMBER($C728)),"FALTA LA HORA",IF($C728&lt;1,"FALTA LA FECHA",TEXT($C728+1,"dd/mm hh:mm"))))</f>
        <v/>
      </c>
    </row>
    <row r="729">
      <c r="A729" s="13" t="inlineStr">
        <is>
          <t>727</t>
        </is>
      </c>
      <c r="B729" t="inlineStr">
        <is>
          <t>LIBRE</t>
        </is>
      </c>
      <c r="C729" s="14" t="n"/>
      <c r="E729" s="15">
        <f>IF($G729&lt;&gt;"PAGADO","",IFERROR(IF(VLOOKUP($A729,COMPRADORES!$A:$D,4,FALSE)="NO","Reservado",LEFT(VLOOKUP($A729,COMPRADORES!$A:$D,2,FALSE),3)&amp;"***"&amp;IF(TRIM(MID(VLOOKUP($A729,COMPRADORES!$A:$D,2,FALSE)&amp;" ",FIND(" ",VLOOKUP($A729,COMPRADORES!$A:$D,2,FALSE)&amp;" ")+1,99))="",""," "&amp;LEFT(TRIM(MID(VLOOKUP($A729,COMPRADORES!$A:$D,2,FALSE)&amp;" ",FIND(" ",VLOOKUP($A729,COMPRADORES!$A:$D,2,FALSE)&amp;" ")+1,99)),1)&amp;".")),""))</f>
        <v/>
      </c>
      <c r="F729" s="16">
        <f>IF($B729="PAGADO",MID("ABCDEFGHIJ",INT(VALUE($A729)/100)+1,1)&amp;"-"&amp;$A729,"")</f>
        <v/>
      </c>
      <c r="G729" s="16">
        <f>IF($B729="PAGADO","PAGADO",IF($B729="APARTADO",IF(NOT(ISNUMBER($C729)),"APARTADO",IF($C729&lt;1,"APARTADO",IF(NOW()-$C729&gt;1,"LIBRE","APARTADO"))),"LIBRE"))</f>
        <v/>
      </c>
      <c r="H729" s="15">
        <f>IF($G729&lt;&gt;"APARTADO","",IF(NOT(ISNUMBER($C729)),"FALTA LA HORA",IF($C729&lt;1,"FALTA LA FECHA",TEXT($C729+1,"dd/mm hh:mm"))))</f>
        <v/>
      </c>
    </row>
    <row r="730">
      <c r="A730" s="13" t="inlineStr">
        <is>
          <t>728</t>
        </is>
      </c>
      <c r="B730" t="inlineStr">
        <is>
          <t>LIBRE</t>
        </is>
      </c>
      <c r="C730" s="14" t="n"/>
      <c r="E730" s="15">
        <f>IF($G730&lt;&gt;"PAGADO","",IFERROR(IF(VLOOKUP($A730,COMPRADORES!$A:$D,4,FALSE)="NO","Reservado",LEFT(VLOOKUP($A730,COMPRADORES!$A:$D,2,FALSE),3)&amp;"***"&amp;IF(TRIM(MID(VLOOKUP($A730,COMPRADORES!$A:$D,2,FALSE)&amp;" ",FIND(" ",VLOOKUP($A730,COMPRADORES!$A:$D,2,FALSE)&amp;" ")+1,99))="",""," "&amp;LEFT(TRIM(MID(VLOOKUP($A730,COMPRADORES!$A:$D,2,FALSE)&amp;" ",FIND(" ",VLOOKUP($A730,COMPRADORES!$A:$D,2,FALSE)&amp;" ")+1,99)),1)&amp;".")),""))</f>
        <v/>
      </c>
      <c r="F730" s="16">
        <f>IF($B730="PAGADO",MID("ABCDEFGHIJ",INT(VALUE($A730)/100)+1,1)&amp;"-"&amp;$A730,"")</f>
        <v/>
      </c>
      <c r="G730" s="16">
        <f>IF($B730="PAGADO","PAGADO",IF($B730="APARTADO",IF(NOT(ISNUMBER($C730)),"APARTADO",IF($C730&lt;1,"APARTADO",IF(NOW()-$C730&gt;1,"LIBRE","APARTADO"))),"LIBRE"))</f>
        <v/>
      </c>
      <c r="H730" s="15">
        <f>IF($G730&lt;&gt;"APARTADO","",IF(NOT(ISNUMBER($C730)),"FALTA LA HORA",IF($C730&lt;1,"FALTA LA FECHA",TEXT($C730+1,"dd/mm hh:mm"))))</f>
        <v/>
      </c>
    </row>
    <row r="731">
      <c r="A731" s="13" t="inlineStr">
        <is>
          <t>729</t>
        </is>
      </c>
      <c r="B731" t="inlineStr">
        <is>
          <t>LIBRE</t>
        </is>
      </c>
      <c r="C731" s="14" t="n"/>
      <c r="E731" s="15">
        <f>IF($G731&lt;&gt;"PAGADO","",IFERROR(IF(VLOOKUP($A731,COMPRADORES!$A:$D,4,FALSE)="NO","Reservado",LEFT(VLOOKUP($A731,COMPRADORES!$A:$D,2,FALSE),3)&amp;"***"&amp;IF(TRIM(MID(VLOOKUP($A731,COMPRADORES!$A:$D,2,FALSE)&amp;" ",FIND(" ",VLOOKUP($A731,COMPRADORES!$A:$D,2,FALSE)&amp;" ")+1,99))="",""," "&amp;LEFT(TRIM(MID(VLOOKUP($A731,COMPRADORES!$A:$D,2,FALSE)&amp;" ",FIND(" ",VLOOKUP($A731,COMPRADORES!$A:$D,2,FALSE)&amp;" ")+1,99)),1)&amp;".")),""))</f>
        <v/>
      </c>
      <c r="F731" s="16">
        <f>IF($B731="PAGADO",MID("ABCDEFGHIJ",INT(VALUE($A731)/100)+1,1)&amp;"-"&amp;$A731,"")</f>
        <v/>
      </c>
      <c r="G731" s="16">
        <f>IF($B731="PAGADO","PAGADO",IF($B731="APARTADO",IF(NOT(ISNUMBER($C731)),"APARTADO",IF($C731&lt;1,"APARTADO",IF(NOW()-$C731&gt;1,"LIBRE","APARTADO"))),"LIBRE"))</f>
        <v/>
      </c>
      <c r="H731" s="15">
        <f>IF($G731&lt;&gt;"APARTADO","",IF(NOT(ISNUMBER($C731)),"FALTA LA HORA",IF($C731&lt;1,"FALTA LA FECHA",TEXT($C731+1,"dd/mm hh:mm"))))</f>
        <v/>
      </c>
    </row>
    <row r="732">
      <c r="A732" s="13" t="inlineStr">
        <is>
          <t>730</t>
        </is>
      </c>
      <c r="B732" t="inlineStr">
        <is>
          <t>LIBRE</t>
        </is>
      </c>
      <c r="C732" s="14" t="n"/>
      <c r="E732" s="15">
        <f>IF($G732&lt;&gt;"PAGADO","",IFERROR(IF(VLOOKUP($A732,COMPRADORES!$A:$D,4,FALSE)="NO","Reservado",LEFT(VLOOKUP($A732,COMPRADORES!$A:$D,2,FALSE),3)&amp;"***"&amp;IF(TRIM(MID(VLOOKUP($A732,COMPRADORES!$A:$D,2,FALSE)&amp;" ",FIND(" ",VLOOKUP($A732,COMPRADORES!$A:$D,2,FALSE)&amp;" ")+1,99))="",""," "&amp;LEFT(TRIM(MID(VLOOKUP($A732,COMPRADORES!$A:$D,2,FALSE)&amp;" ",FIND(" ",VLOOKUP($A732,COMPRADORES!$A:$D,2,FALSE)&amp;" ")+1,99)),1)&amp;".")),""))</f>
        <v/>
      </c>
      <c r="F732" s="16">
        <f>IF($B732="PAGADO",MID("ABCDEFGHIJ",INT(VALUE($A732)/100)+1,1)&amp;"-"&amp;$A732,"")</f>
        <v/>
      </c>
      <c r="G732" s="16">
        <f>IF($B732="PAGADO","PAGADO",IF($B732="APARTADO",IF(NOT(ISNUMBER($C732)),"APARTADO",IF($C732&lt;1,"APARTADO",IF(NOW()-$C732&gt;1,"LIBRE","APARTADO"))),"LIBRE"))</f>
        <v/>
      </c>
      <c r="H732" s="15">
        <f>IF($G732&lt;&gt;"APARTADO","",IF(NOT(ISNUMBER($C732)),"FALTA LA HORA",IF($C732&lt;1,"FALTA LA FECHA",TEXT($C732+1,"dd/mm hh:mm"))))</f>
        <v/>
      </c>
    </row>
    <row r="733">
      <c r="A733" s="13" t="inlineStr">
        <is>
          <t>731</t>
        </is>
      </c>
      <c r="B733" t="inlineStr">
        <is>
          <t>LIBRE</t>
        </is>
      </c>
      <c r="C733" s="14" t="n"/>
      <c r="E733" s="15">
        <f>IF($G733&lt;&gt;"PAGADO","",IFERROR(IF(VLOOKUP($A733,COMPRADORES!$A:$D,4,FALSE)="NO","Reservado",LEFT(VLOOKUP($A733,COMPRADORES!$A:$D,2,FALSE),3)&amp;"***"&amp;IF(TRIM(MID(VLOOKUP($A733,COMPRADORES!$A:$D,2,FALSE)&amp;" ",FIND(" ",VLOOKUP($A733,COMPRADORES!$A:$D,2,FALSE)&amp;" ")+1,99))="",""," "&amp;LEFT(TRIM(MID(VLOOKUP($A733,COMPRADORES!$A:$D,2,FALSE)&amp;" ",FIND(" ",VLOOKUP($A733,COMPRADORES!$A:$D,2,FALSE)&amp;" ")+1,99)),1)&amp;".")),""))</f>
        <v/>
      </c>
      <c r="F733" s="16">
        <f>IF($B733="PAGADO",MID("ABCDEFGHIJ",INT(VALUE($A733)/100)+1,1)&amp;"-"&amp;$A733,"")</f>
        <v/>
      </c>
      <c r="G733" s="16">
        <f>IF($B733="PAGADO","PAGADO",IF($B733="APARTADO",IF(NOT(ISNUMBER($C733)),"APARTADO",IF($C733&lt;1,"APARTADO",IF(NOW()-$C733&gt;1,"LIBRE","APARTADO"))),"LIBRE"))</f>
        <v/>
      </c>
      <c r="H733" s="15">
        <f>IF($G733&lt;&gt;"APARTADO","",IF(NOT(ISNUMBER($C733)),"FALTA LA HORA",IF($C733&lt;1,"FALTA LA FECHA",TEXT($C733+1,"dd/mm hh:mm"))))</f>
        <v/>
      </c>
    </row>
    <row r="734">
      <c r="A734" s="13" t="inlineStr">
        <is>
          <t>732</t>
        </is>
      </c>
      <c r="B734" t="inlineStr">
        <is>
          <t>LIBRE</t>
        </is>
      </c>
      <c r="C734" s="14" t="n"/>
      <c r="E734" s="15">
        <f>IF($G734&lt;&gt;"PAGADO","",IFERROR(IF(VLOOKUP($A734,COMPRADORES!$A:$D,4,FALSE)="NO","Reservado",LEFT(VLOOKUP($A734,COMPRADORES!$A:$D,2,FALSE),3)&amp;"***"&amp;IF(TRIM(MID(VLOOKUP($A734,COMPRADORES!$A:$D,2,FALSE)&amp;" ",FIND(" ",VLOOKUP($A734,COMPRADORES!$A:$D,2,FALSE)&amp;" ")+1,99))="",""," "&amp;LEFT(TRIM(MID(VLOOKUP($A734,COMPRADORES!$A:$D,2,FALSE)&amp;" ",FIND(" ",VLOOKUP($A734,COMPRADORES!$A:$D,2,FALSE)&amp;" ")+1,99)),1)&amp;".")),""))</f>
        <v/>
      </c>
      <c r="F734" s="16">
        <f>IF($B734="PAGADO",MID("ABCDEFGHIJ",INT(VALUE($A734)/100)+1,1)&amp;"-"&amp;$A734,"")</f>
        <v/>
      </c>
      <c r="G734" s="16">
        <f>IF($B734="PAGADO","PAGADO",IF($B734="APARTADO",IF(NOT(ISNUMBER($C734)),"APARTADO",IF($C734&lt;1,"APARTADO",IF(NOW()-$C734&gt;1,"LIBRE","APARTADO"))),"LIBRE"))</f>
        <v/>
      </c>
      <c r="H734" s="15">
        <f>IF($G734&lt;&gt;"APARTADO","",IF(NOT(ISNUMBER($C734)),"FALTA LA HORA",IF($C734&lt;1,"FALTA LA FECHA",TEXT($C734+1,"dd/mm hh:mm"))))</f>
        <v/>
      </c>
    </row>
    <row r="735">
      <c r="A735" s="13" t="inlineStr">
        <is>
          <t>733</t>
        </is>
      </c>
      <c r="B735" t="inlineStr">
        <is>
          <t>LIBRE</t>
        </is>
      </c>
      <c r="C735" s="14" t="n"/>
      <c r="E735" s="15">
        <f>IF($G735&lt;&gt;"PAGADO","",IFERROR(IF(VLOOKUP($A735,COMPRADORES!$A:$D,4,FALSE)="NO","Reservado",LEFT(VLOOKUP($A735,COMPRADORES!$A:$D,2,FALSE),3)&amp;"***"&amp;IF(TRIM(MID(VLOOKUP($A735,COMPRADORES!$A:$D,2,FALSE)&amp;" ",FIND(" ",VLOOKUP($A735,COMPRADORES!$A:$D,2,FALSE)&amp;" ")+1,99))="",""," "&amp;LEFT(TRIM(MID(VLOOKUP($A735,COMPRADORES!$A:$D,2,FALSE)&amp;" ",FIND(" ",VLOOKUP($A735,COMPRADORES!$A:$D,2,FALSE)&amp;" ")+1,99)),1)&amp;".")),""))</f>
        <v/>
      </c>
      <c r="F735" s="16">
        <f>IF($B735="PAGADO",MID("ABCDEFGHIJ",INT(VALUE($A735)/100)+1,1)&amp;"-"&amp;$A735,"")</f>
        <v/>
      </c>
      <c r="G735" s="16">
        <f>IF($B735="PAGADO","PAGADO",IF($B735="APARTADO",IF(NOT(ISNUMBER($C735)),"APARTADO",IF($C735&lt;1,"APARTADO",IF(NOW()-$C735&gt;1,"LIBRE","APARTADO"))),"LIBRE"))</f>
        <v/>
      </c>
      <c r="H735" s="15">
        <f>IF($G735&lt;&gt;"APARTADO","",IF(NOT(ISNUMBER($C735)),"FALTA LA HORA",IF($C735&lt;1,"FALTA LA FECHA",TEXT($C735+1,"dd/mm hh:mm"))))</f>
        <v/>
      </c>
    </row>
    <row r="736">
      <c r="A736" s="13" t="inlineStr">
        <is>
          <t>734</t>
        </is>
      </c>
      <c r="B736" t="inlineStr">
        <is>
          <t>LIBRE</t>
        </is>
      </c>
      <c r="C736" s="14" t="n"/>
      <c r="E736" s="15">
        <f>IF($G736&lt;&gt;"PAGADO","",IFERROR(IF(VLOOKUP($A736,COMPRADORES!$A:$D,4,FALSE)="NO","Reservado",LEFT(VLOOKUP($A736,COMPRADORES!$A:$D,2,FALSE),3)&amp;"***"&amp;IF(TRIM(MID(VLOOKUP($A736,COMPRADORES!$A:$D,2,FALSE)&amp;" ",FIND(" ",VLOOKUP($A736,COMPRADORES!$A:$D,2,FALSE)&amp;" ")+1,99))="",""," "&amp;LEFT(TRIM(MID(VLOOKUP($A736,COMPRADORES!$A:$D,2,FALSE)&amp;" ",FIND(" ",VLOOKUP($A736,COMPRADORES!$A:$D,2,FALSE)&amp;" ")+1,99)),1)&amp;".")),""))</f>
        <v/>
      </c>
      <c r="F736" s="16">
        <f>IF($B736="PAGADO",MID("ABCDEFGHIJ",INT(VALUE($A736)/100)+1,1)&amp;"-"&amp;$A736,"")</f>
        <v/>
      </c>
      <c r="G736" s="16">
        <f>IF($B736="PAGADO","PAGADO",IF($B736="APARTADO",IF(NOT(ISNUMBER($C736)),"APARTADO",IF($C736&lt;1,"APARTADO",IF(NOW()-$C736&gt;1,"LIBRE","APARTADO"))),"LIBRE"))</f>
        <v/>
      </c>
      <c r="H736" s="15">
        <f>IF($G736&lt;&gt;"APARTADO","",IF(NOT(ISNUMBER($C736)),"FALTA LA HORA",IF($C736&lt;1,"FALTA LA FECHA",TEXT($C736+1,"dd/mm hh:mm"))))</f>
        <v/>
      </c>
    </row>
    <row r="737">
      <c r="A737" s="13" t="inlineStr">
        <is>
          <t>735</t>
        </is>
      </c>
      <c r="B737" t="inlineStr">
        <is>
          <t>LIBRE</t>
        </is>
      </c>
      <c r="C737" s="14" t="n"/>
      <c r="E737" s="15">
        <f>IF($G737&lt;&gt;"PAGADO","",IFERROR(IF(VLOOKUP($A737,COMPRADORES!$A:$D,4,FALSE)="NO","Reservado",LEFT(VLOOKUP($A737,COMPRADORES!$A:$D,2,FALSE),3)&amp;"***"&amp;IF(TRIM(MID(VLOOKUP($A737,COMPRADORES!$A:$D,2,FALSE)&amp;" ",FIND(" ",VLOOKUP($A737,COMPRADORES!$A:$D,2,FALSE)&amp;" ")+1,99))="",""," "&amp;LEFT(TRIM(MID(VLOOKUP($A737,COMPRADORES!$A:$D,2,FALSE)&amp;" ",FIND(" ",VLOOKUP($A737,COMPRADORES!$A:$D,2,FALSE)&amp;" ")+1,99)),1)&amp;".")),""))</f>
        <v/>
      </c>
      <c r="F737" s="16">
        <f>IF($B737="PAGADO",MID("ABCDEFGHIJ",INT(VALUE($A737)/100)+1,1)&amp;"-"&amp;$A737,"")</f>
        <v/>
      </c>
      <c r="G737" s="16">
        <f>IF($B737="PAGADO","PAGADO",IF($B737="APARTADO",IF(NOT(ISNUMBER($C737)),"APARTADO",IF($C737&lt;1,"APARTADO",IF(NOW()-$C737&gt;1,"LIBRE","APARTADO"))),"LIBRE"))</f>
        <v/>
      </c>
      <c r="H737" s="15">
        <f>IF($G737&lt;&gt;"APARTADO","",IF(NOT(ISNUMBER($C737)),"FALTA LA HORA",IF($C737&lt;1,"FALTA LA FECHA",TEXT($C737+1,"dd/mm hh:mm"))))</f>
        <v/>
      </c>
    </row>
    <row r="738">
      <c r="A738" s="13" t="inlineStr">
        <is>
          <t>736</t>
        </is>
      </c>
      <c r="B738" t="inlineStr">
        <is>
          <t>LIBRE</t>
        </is>
      </c>
      <c r="C738" s="14" t="n"/>
      <c r="E738" s="15">
        <f>IF($G738&lt;&gt;"PAGADO","",IFERROR(IF(VLOOKUP($A738,COMPRADORES!$A:$D,4,FALSE)="NO","Reservado",LEFT(VLOOKUP($A738,COMPRADORES!$A:$D,2,FALSE),3)&amp;"***"&amp;IF(TRIM(MID(VLOOKUP($A738,COMPRADORES!$A:$D,2,FALSE)&amp;" ",FIND(" ",VLOOKUP($A738,COMPRADORES!$A:$D,2,FALSE)&amp;" ")+1,99))="",""," "&amp;LEFT(TRIM(MID(VLOOKUP($A738,COMPRADORES!$A:$D,2,FALSE)&amp;" ",FIND(" ",VLOOKUP($A738,COMPRADORES!$A:$D,2,FALSE)&amp;" ")+1,99)),1)&amp;".")),""))</f>
        <v/>
      </c>
      <c r="F738" s="16">
        <f>IF($B738="PAGADO",MID("ABCDEFGHIJ",INT(VALUE($A738)/100)+1,1)&amp;"-"&amp;$A738,"")</f>
        <v/>
      </c>
      <c r="G738" s="16">
        <f>IF($B738="PAGADO","PAGADO",IF($B738="APARTADO",IF(NOT(ISNUMBER($C738)),"APARTADO",IF($C738&lt;1,"APARTADO",IF(NOW()-$C738&gt;1,"LIBRE","APARTADO"))),"LIBRE"))</f>
        <v/>
      </c>
      <c r="H738" s="15">
        <f>IF($G738&lt;&gt;"APARTADO","",IF(NOT(ISNUMBER($C738)),"FALTA LA HORA",IF($C738&lt;1,"FALTA LA FECHA",TEXT($C738+1,"dd/mm hh:mm"))))</f>
        <v/>
      </c>
    </row>
    <row r="739">
      <c r="A739" s="13" t="inlineStr">
        <is>
          <t>737</t>
        </is>
      </c>
      <c r="B739" t="inlineStr">
        <is>
          <t>LIBRE</t>
        </is>
      </c>
      <c r="C739" s="14" t="n"/>
      <c r="E739" s="15">
        <f>IF($G739&lt;&gt;"PAGADO","",IFERROR(IF(VLOOKUP($A739,COMPRADORES!$A:$D,4,FALSE)="NO","Reservado",LEFT(VLOOKUP($A739,COMPRADORES!$A:$D,2,FALSE),3)&amp;"***"&amp;IF(TRIM(MID(VLOOKUP($A739,COMPRADORES!$A:$D,2,FALSE)&amp;" ",FIND(" ",VLOOKUP($A739,COMPRADORES!$A:$D,2,FALSE)&amp;" ")+1,99))="",""," "&amp;LEFT(TRIM(MID(VLOOKUP($A739,COMPRADORES!$A:$D,2,FALSE)&amp;" ",FIND(" ",VLOOKUP($A739,COMPRADORES!$A:$D,2,FALSE)&amp;" ")+1,99)),1)&amp;".")),""))</f>
        <v/>
      </c>
      <c r="F739" s="16">
        <f>IF($B739="PAGADO",MID("ABCDEFGHIJ",INT(VALUE($A739)/100)+1,1)&amp;"-"&amp;$A739,"")</f>
        <v/>
      </c>
      <c r="G739" s="16">
        <f>IF($B739="PAGADO","PAGADO",IF($B739="APARTADO",IF(NOT(ISNUMBER($C739)),"APARTADO",IF($C739&lt;1,"APARTADO",IF(NOW()-$C739&gt;1,"LIBRE","APARTADO"))),"LIBRE"))</f>
        <v/>
      </c>
      <c r="H739" s="15">
        <f>IF($G739&lt;&gt;"APARTADO","",IF(NOT(ISNUMBER($C739)),"FALTA LA HORA",IF($C739&lt;1,"FALTA LA FECHA",TEXT($C739+1,"dd/mm hh:mm"))))</f>
        <v/>
      </c>
    </row>
    <row r="740">
      <c r="A740" s="13" t="inlineStr">
        <is>
          <t>738</t>
        </is>
      </c>
      <c r="B740" t="inlineStr">
        <is>
          <t>LIBRE</t>
        </is>
      </c>
      <c r="C740" s="14" t="n"/>
      <c r="E740" s="15">
        <f>IF($G740&lt;&gt;"PAGADO","",IFERROR(IF(VLOOKUP($A740,COMPRADORES!$A:$D,4,FALSE)="NO","Reservado",LEFT(VLOOKUP($A740,COMPRADORES!$A:$D,2,FALSE),3)&amp;"***"&amp;IF(TRIM(MID(VLOOKUP($A740,COMPRADORES!$A:$D,2,FALSE)&amp;" ",FIND(" ",VLOOKUP($A740,COMPRADORES!$A:$D,2,FALSE)&amp;" ")+1,99))="",""," "&amp;LEFT(TRIM(MID(VLOOKUP($A740,COMPRADORES!$A:$D,2,FALSE)&amp;" ",FIND(" ",VLOOKUP($A740,COMPRADORES!$A:$D,2,FALSE)&amp;" ")+1,99)),1)&amp;".")),""))</f>
        <v/>
      </c>
      <c r="F740" s="16">
        <f>IF($B740="PAGADO",MID("ABCDEFGHIJ",INT(VALUE($A740)/100)+1,1)&amp;"-"&amp;$A740,"")</f>
        <v/>
      </c>
      <c r="G740" s="16">
        <f>IF($B740="PAGADO","PAGADO",IF($B740="APARTADO",IF(NOT(ISNUMBER($C740)),"APARTADO",IF($C740&lt;1,"APARTADO",IF(NOW()-$C740&gt;1,"LIBRE","APARTADO"))),"LIBRE"))</f>
        <v/>
      </c>
      <c r="H740" s="15">
        <f>IF($G740&lt;&gt;"APARTADO","",IF(NOT(ISNUMBER($C740)),"FALTA LA HORA",IF($C740&lt;1,"FALTA LA FECHA",TEXT($C740+1,"dd/mm hh:mm"))))</f>
        <v/>
      </c>
    </row>
    <row r="741">
      <c r="A741" s="13" t="inlineStr">
        <is>
          <t>739</t>
        </is>
      </c>
      <c r="B741" t="inlineStr">
        <is>
          <t>LIBRE</t>
        </is>
      </c>
      <c r="C741" s="14" t="n"/>
      <c r="E741" s="15">
        <f>IF($G741&lt;&gt;"PAGADO","",IFERROR(IF(VLOOKUP($A741,COMPRADORES!$A:$D,4,FALSE)="NO","Reservado",LEFT(VLOOKUP($A741,COMPRADORES!$A:$D,2,FALSE),3)&amp;"***"&amp;IF(TRIM(MID(VLOOKUP($A741,COMPRADORES!$A:$D,2,FALSE)&amp;" ",FIND(" ",VLOOKUP($A741,COMPRADORES!$A:$D,2,FALSE)&amp;" ")+1,99))="",""," "&amp;LEFT(TRIM(MID(VLOOKUP($A741,COMPRADORES!$A:$D,2,FALSE)&amp;" ",FIND(" ",VLOOKUP($A741,COMPRADORES!$A:$D,2,FALSE)&amp;" ")+1,99)),1)&amp;".")),""))</f>
        <v/>
      </c>
      <c r="F741" s="16">
        <f>IF($B741="PAGADO",MID("ABCDEFGHIJ",INT(VALUE($A741)/100)+1,1)&amp;"-"&amp;$A741,"")</f>
        <v/>
      </c>
      <c r="G741" s="16">
        <f>IF($B741="PAGADO","PAGADO",IF($B741="APARTADO",IF(NOT(ISNUMBER($C741)),"APARTADO",IF($C741&lt;1,"APARTADO",IF(NOW()-$C741&gt;1,"LIBRE","APARTADO"))),"LIBRE"))</f>
        <v/>
      </c>
      <c r="H741" s="15">
        <f>IF($G741&lt;&gt;"APARTADO","",IF(NOT(ISNUMBER($C741)),"FALTA LA HORA",IF($C741&lt;1,"FALTA LA FECHA",TEXT($C741+1,"dd/mm hh:mm"))))</f>
        <v/>
      </c>
    </row>
    <row r="742">
      <c r="A742" s="13" t="inlineStr">
        <is>
          <t>740</t>
        </is>
      </c>
      <c r="B742" t="inlineStr">
        <is>
          <t>LIBRE</t>
        </is>
      </c>
      <c r="C742" s="14" t="n"/>
      <c r="E742" s="15">
        <f>IF($G742&lt;&gt;"PAGADO","",IFERROR(IF(VLOOKUP($A742,COMPRADORES!$A:$D,4,FALSE)="NO","Reservado",LEFT(VLOOKUP($A742,COMPRADORES!$A:$D,2,FALSE),3)&amp;"***"&amp;IF(TRIM(MID(VLOOKUP($A742,COMPRADORES!$A:$D,2,FALSE)&amp;" ",FIND(" ",VLOOKUP($A742,COMPRADORES!$A:$D,2,FALSE)&amp;" ")+1,99))="",""," "&amp;LEFT(TRIM(MID(VLOOKUP($A742,COMPRADORES!$A:$D,2,FALSE)&amp;" ",FIND(" ",VLOOKUP($A742,COMPRADORES!$A:$D,2,FALSE)&amp;" ")+1,99)),1)&amp;".")),""))</f>
        <v/>
      </c>
      <c r="F742" s="16">
        <f>IF($B742="PAGADO",MID("ABCDEFGHIJ",INT(VALUE($A742)/100)+1,1)&amp;"-"&amp;$A742,"")</f>
        <v/>
      </c>
      <c r="G742" s="16">
        <f>IF($B742="PAGADO","PAGADO",IF($B742="APARTADO",IF(NOT(ISNUMBER($C742)),"APARTADO",IF($C742&lt;1,"APARTADO",IF(NOW()-$C742&gt;1,"LIBRE","APARTADO"))),"LIBRE"))</f>
        <v/>
      </c>
      <c r="H742" s="15">
        <f>IF($G742&lt;&gt;"APARTADO","",IF(NOT(ISNUMBER($C742)),"FALTA LA HORA",IF($C742&lt;1,"FALTA LA FECHA",TEXT($C742+1,"dd/mm hh:mm"))))</f>
        <v/>
      </c>
    </row>
    <row r="743">
      <c r="A743" s="13" t="inlineStr">
        <is>
          <t>741</t>
        </is>
      </c>
      <c r="B743" t="inlineStr">
        <is>
          <t>LIBRE</t>
        </is>
      </c>
      <c r="C743" s="14" t="n"/>
      <c r="E743" s="15">
        <f>IF($G743&lt;&gt;"PAGADO","",IFERROR(IF(VLOOKUP($A743,COMPRADORES!$A:$D,4,FALSE)="NO","Reservado",LEFT(VLOOKUP($A743,COMPRADORES!$A:$D,2,FALSE),3)&amp;"***"&amp;IF(TRIM(MID(VLOOKUP($A743,COMPRADORES!$A:$D,2,FALSE)&amp;" ",FIND(" ",VLOOKUP($A743,COMPRADORES!$A:$D,2,FALSE)&amp;" ")+1,99))="",""," "&amp;LEFT(TRIM(MID(VLOOKUP($A743,COMPRADORES!$A:$D,2,FALSE)&amp;" ",FIND(" ",VLOOKUP($A743,COMPRADORES!$A:$D,2,FALSE)&amp;" ")+1,99)),1)&amp;".")),""))</f>
        <v/>
      </c>
      <c r="F743" s="16">
        <f>IF($B743="PAGADO",MID("ABCDEFGHIJ",INT(VALUE($A743)/100)+1,1)&amp;"-"&amp;$A743,"")</f>
        <v/>
      </c>
      <c r="G743" s="16">
        <f>IF($B743="PAGADO","PAGADO",IF($B743="APARTADO",IF(NOT(ISNUMBER($C743)),"APARTADO",IF($C743&lt;1,"APARTADO",IF(NOW()-$C743&gt;1,"LIBRE","APARTADO"))),"LIBRE"))</f>
        <v/>
      </c>
      <c r="H743" s="15">
        <f>IF($G743&lt;&gt;"APARTADO","",IF(NOT(ISNUMBER($C743)),"FALTA LA HORA",IF($C743&lt;1,"FALTA LA FECHA",TEXT($C743+1,"dd/mm hh:mm"))))</f>
        <v/>
      </c>
    </row>
    <row r="744">
      <c r="A744" s="13" t="inlineStr">
        <is>
          <t>742</t>
        </is>
      </c>
      <c r="B744" t="inlineStr">
        <is>
          <t>LIBRE</t>
        </is>
      </c>
      <c r="C744" s="14" t="n"/>
      <c r="E744" s="15">
        <f>IF($G744&lt;&gt;"PAGADO","",IFERROR(IF(VLOOKUP($A744,COMPRADORES!$A:$D,4,FALSE)="NO","Reservado",LEFT(VLOOKUP($A744,COMPRADORES!$A:$D,2,FALSE),3)&amp;"***"&amp;IF(TRIM(MID(VLOOKUP($A744,COMPRADORES!$A:$D,2,FALSE)&amp;" ",FIND(" ",VLOOKUP($A744,COMPRADORES!$A:$D,2,FALSE)&amp;" ")+1,99))="",""," "&amp;LEFT(TRIM(MID(VLOOKUP($A744,COMPRADORES!$A:$D,2,FALSE)&amp;" ",FIND(" ",VLOOKUP($A744,COMPRADORES!$A:$D,2,FALSE)&amp;" ")+1,99)),1)&amp;".")),""))</f>
        <v/>
      </c>
      <c r="F744" s="16">
        <f>IF($B744="PAGADO",MID("ABCDEFGHIJ",INT(VALUE($A744)/100)+1,1)&amp;"-"&amp;$A744,"")</f>
        <v/>
      </c>
      <c r="G744" s="16">
        <f>IF($B744="PAGADO","PAGADO",IF($B744="APARTADO",IF(NOT(ISNUMBER($C744)),"APARTADO",IF($C744&lt;1,"APARTADO",IF(NOW()-$C744&gt;1,"LIBRE","APARTADO"))),"LIBRE"))</f>
        <v/>
      </c>
      <c r="H744" s="15">
        <f>IF($G744&lt;&gt;"APARTADO","",IF(NOT(ISNUMBER($C744)),"FALTA LA HORA",IF($C744&lt;1,"FALTA LA FECHA",TEXT($C744+1,"dd/mm hh:mm"))))</f>
        <v/>
      </c>
    </row>
    <row r="745">
      <c r="A745" s="13" t="inlineStr">
        <is>
          <t>743</t>
        </is>
      </c>
      <c r="B745" t="inlineStr">
        <is>
          <t>LIBRE</t>
        </is>
      </c>
      <c r="C745" s="14" t="n"/>
      <c r="E745" s="15">
        <f>IF($G745&lt;&gt;"PAGADO","",IFERROR(IF(VLOOKUP($A745,COMPRADORES!$A:$D,4,FALSE)="NO","Reservado",LEFT(VLOOKUP($A745,COMPRADORES!$A:$D,2,FALSE),3)&amp;"***"&amp;IF(TRIM(MID(VLOOKUP($A745,COMPRADORES!$A:$D,2,FALSE)&amp;" ",FIND(" ",VLOOKUP($A745,COMPRADORES!$A:$D,2,FALSE)&amp;" ")+1,99))="",""," "&amp;LEFT(TRIM(MID(VLOOKUP($A745,COMPRADORES!$A:$D,2,FALSE)&amp;" ",FIND(" ",VLOOKUP($A745,COMPRADORES!$A:$D,2,FALSE)&amp;" ")+1,99)),1)&amp;".")),""))</f>
        <v/>
      </c>
      <c r="F745" s="16">
        <f>IF($B745="PAGADO",MID("ABCDEFGHIJ",INT(VALUE($A745)/100)+1,1)&amp;"-"&amp;$A745,"")</f>
        <v/>
      </c>
      <c r="G745" s="16">
        <f>IF($B745="PAGADO","PAGADO",IF($B745="APARTADO",IF(NOT(ISNUMBER($C745)),"APARTADO",IF($C745&lt;1,"APARTADO",IF(NOW()-$C745&gt;1,"LIBRE","APARTADO"))),"LIBRE"))</f>
        <v/>
      </c>
      <c r="H745" s="15">
        <f>IF($G745&lt;&gt;"APARTADO","",IF(NOT(ISNUMBER($C745)),"FALTA LA HORA",IF($C745&lt;1,"FALTA LA FECHA",TEXT($C745+1,"dd/mm hh:mm"))))</f>
        <v/>
      </c>
    </row>
    <row r="746">
      <c r="A746" s="13" t="inlineStr">
        <is>
          <t>744</t>
        </is>
      </c>
      <c r="B746" t="inlineStr">
        <is>
          <t>LIBRE</t>
        </is>
      </c>
      <c r="C746" s="14" t="n"/>
      <c r="E746" s="15">
        <f>IF($G746&lt;&gt;"PAGADO","",IFERROR(IF(VLOOKUP($A746,COMPRADORES!$A:$D,4,FALSE)="NO","Reservado",LEFT(VLOOKUP($A746,COMPRADORES!$A:$D,2,FALSE),3)&amp;"***"&amp;IF(TRIM(MID(VLOOKUP($A746,COMPRADORES!$A:$D,2,FALSE)&amp;" ",FIND(" ",VLOOKUP($A746,COMPRADORES!$A:$D,2,FALSE)&amp;" ")+1,99))="",""," "&amp;LEFT(TRIM(MID(VLOOKUP($A746,COMPRADORES!$A:$D,2,FALSE)&amp;" ",FIND(" ",VLOOKUP($A746,COMPRADORES!$A:$D,2,FALSE)&amp;" ")+1,99)),1)&amp;".")),""))</f>
        <v/>
      </c>
      <c r="F746" s="16">
        <f>IF($B746="PAGADO",MID("ABCDEFGHIJ",INT(VALUE($A746)/100)+1,1)&amp;"-"&amp;$A746,"")</f>
        <v/>
      </c>
      <c r="G746" s="16">
        <f>IF($B746="PAGADO","PAGADO",IF($B746="APARTADO",IF(NOT(ISNUMBER($C746)),"APARTADO",IF($C746&lt;1,"APARTADO",IF(NOW()-$C746&gt;1,"LIBRE","APARTADO"))),"LIBRE"))</f>
        <v/>
      </c>
      <c r="H746" s="15">
        <f>IF($G746&lt;&gt;"APARTADO","",IF(NOT(ISNUMBER($C746)),"FALTA LA HORA",IF($C746&lt;1,"FALTA LA FECHA",TEXT($C746+1,"dd/mm hh:mm"))))</f>
        <v/>
      </c>
    </row>
    <row r="747">
      <c r="A747" s="13" t="inlineStr">
        <is>
          <t>745</t>
        </is>
      </c>
      <c r="B747" t="inlineStr">
        <is>
          <t>LIBRE</t>
        </is>
      </c>
      <c r="C747" s="14" t="n"/>
      <c r="E747" s="15">
        <f>IF($G747&lt;&gt;"PAGADO","",IFERROR(IF(VLOOKUP($A747,COMPRADORES!$A:$D,4,FALSE)="NO","Reservado",LEFT(VLOOKUP($A747,COMPRADORES!$A:$D,2,FALSE),3)&amp;"***"&amp;IF(TRIM(MID(VLOOKUP($A747,COMPRADORES!$A:$D,2,FALSE)&amp;" ",FIND(" ",VLOOKUP($A747,COMPRADORES!$A:$D,2,FALSE)&amp;" ")+1,99))="",""," "&amp;LEFT(TRIM(MID(VLOOKUP($A747,COMPRADORES!$A:$D,2,FALSE)&amp;" ",FIND(" ",VLOOKUP($A747,COMPRADORES!$A:$D,2,FALSE)&amp;" ")+1,99)),1)&amp;".")),""))</f>
        <v/>
      </c>
      <c r="F747" s="16">
        <f>IF($B747="PAGADO",MID("ABCDEFGHIJ",INT(VALUE($A747)/100)+1,1)&amp;"-"&amp;$A747,"")</f>
        <v/>
      </c>
      <c r="G747" s="16">
        <f>IF($B747="PAGADO","PAGADO",IF($B747="APARTADO",IF(NOT(ISNUMBER($C747)),"APARTADO",IF($C747&lt;1,"APARTADO",IF(NOW()-$C747&gt;1,"LIBRE","APARTADO"))),"LIBRE"))</f>
        <v/>
      </c>
      <c r="H747" s="15">
        <f>IF($G747&lt;&gt;"APARTADO","",IF(NOT(ISNUMBER($C747)),"FALTA LA HORA",IF($C747&lt;1,"FALTA LA FECHA",TEXT($C747+1,"dd/mm hh:mm"))))</f>
        <v/>
      </c>
    </row>
    <row r="748">
      <c r="A748" s="13" t="inlineStr">
        <is>
          <t>746</t>
        </is>
      </c>
      <c r="B748" t="inlineStr">
        <is>
          <t>LIBRE</t>
        </is>
      </c>
      <c r="C748" s="14" t="n"/>
      <c r="E748" s="15">
        <f>IF($G748&lt;&gt;"PAGADO","",IFERROR(IF(VLOOKUP($A748,COMPRADORES!$A:$D,4,FALSE)="NO","Reservado",LEFT(VLOOKUP($A748,COMPRADORES!$A:$D,2,FALSE),3)&amp;"***"&amp;IF(TRIM(MID(VLOOKUP($A748,COMPRADORES!$A:$D,2,FALSE)&amp;" ",FIND(" ",VLOOKUP($A748,COMPRADORES!$A:$D,2,FALSE)&amp;" ")+1,99))="",""," "&amp;LEFT(TRIM(MID(VLOOKUP($A748,COMPRADORES!$A:$D,2,FALSE)&amp;" ",FIND(" ",VLOOKUP($A748,COMPRADORES!$A:$D,2,FALSE)&amp;" ")+1,99)),1)&amp;".")),""))</f>
        <v/>
      </c>
      <c r="F748" s="16">
        <f>IF($B748="PAGADO",MID("ABCDEFGHIJ",INT(VALUE($A748)/100)+1,1)&amp;"-"&amp;$A748,"")</f>
        <v/>
      </c>
      <c r="G748" s="16">
        <f>IF($B748="PAGADO","PAGADO",IF($B748="APARTADO",IF(NOT(ISNUMBER($C748)),"APARTADO",IF($C748&lt;1,"APARTADO",IF(NOW()-$C748&gt;1,"LIBRE","APARTADO"))),"LIBRE"))</f>
        <v/>
      </c>
      <c r="H748" s="15">
        <f>IF($G748&lt;&gt;"APARTADO","",IF(NOT(ISNUMBER($C748)),"FALTA LA HORA",IF($C748&lt;1,"FALTA LA FECHA",TEXT($C748+1,"dd/mm hh:mm"))))</f>
        <v/>
      </c>
    </row>
    <row r="749">
      <c r="A749" s="13" t="inlineStr">
        <is>
          <t>747</t>
        </is>
      </c>
      <c r="B749" t="inlineStr">
        <is>
          <t>LIBRE</t>
        </is>
      </c>
      <c r="C749" s="14" t="n"/>
      <c r="E749" s="15">
        <f>IF($G749&lt;&gt;"PAGADO","",IFERROR(IF(VLOOKUP($A749,COMPRADORES!$A:$D,4,FALSE)="NO","Reservado",LEFT(VLOOKUP($A749,COMPRADORES!$A:$D,2,FALSE),3)&amp;"***"&amp;IF(TRIM(MID(VLOOKUP($A749,COMPRADORES!$A:$D,2,FALSE)&amp;" ",FIND(" ",VLOOKUP($A749,COMPRADORES!$A:$D,2,FALSE)&amp;" ")+1,99))="",""," "&amp;LEFT(TRIM(MID(VLOOKUP($A749,COMPRADORES!$A:$D,2,FALSE)&amp;" ",FIND(" ",VLOOKUP($A749,COMPRADORES!$A:$D,2,FALSE)&amp;" ")+1,99)),1)&amp;".")),""))</f>
        <v/>
      </c>
      <c r="F749" s="16">
        <f>IF($B749="PAGADO",MID("ABCDEFGHIJ",INT(VALUE($A749)/100)+1,1)&amp;"-"&amp;$A749,"")</f>
        <v/>
      </c>
      <c r="G749" s="16">
        <f>IF($B749="PAGADO","PAGADO",IF($B749="APARTADO",IF(NOT(ISNUMBER($C749)),"APARTADO",IF($C749&lt;1,"APARTADO",IF(NOW()-$C749&gt;1,"LIBRE","APARTADO"))),"LIBRE"))</f>
        <v/>
      </c>
      <c r="H749" s="15">
        <f>IF($G749&lt;&gt;"APARTADO","",IF(NOT(ISNUMBER($C749)),"FALTA LA HORA",IF($C749&lt;1,"FALTA LA FECHA",TEXT($C749+1,"dd/mm hh:mm"))))</f>
        <v/>
      </c>
    </row>
    <row r="750">
      <c r="A750" s="13" t="inlineStr">
        <is>
          <t>748</t>
        </is>
      </c>
      <c r="B750" t="inlineStr">
        <is>
          <t>LIBRE</t>
        </is>
      </c>
      <c r="C750" s="14" t="n"/>
      <c r="E750" s="15">
        <f>IF($G750&lt;&gt;"PAGADO","",IFERROR(IF(VLOOKUP($A750,COMPRADORES!$A:$D,4,FALSE)="NO","Reservado",LEFT(VLOOKUP($A750,COMPRADORES!$A:$D,2,FALSE),3)&amp;"***"&amp;IF(TRIM(MID(VLOOKUP($A750,COMPRADORES!$A:$D,2,FALSE)&amp;" ",FIND(" ",VLOOKUP($A750,COMPRADORES!$A:$D,2,FALSE)&amp;" ")+1,99))="",""," "&amp;LEFT(TRIM(MID(VLOOKUP($A750,COMPRADORES!$A:$D,2,FALSE)&amp;" ",FIND(" ",VLOOKUP($A750,COMPRADORES!$A:$D,2,FALSE)&amp;" ")+1,99)),1)&amp;".")),""))</f>
        <v/>
      </c>
      <c r="F750" s="16">
        <f>IF($B750="PAGADO",MID("ABCDEFGHIJ",INT(VALUE($A750)/100)+1,1)&amp;"-"&amp;$A750,"")</f>
        <v/>
      </c>
      <c r="G750" s="16">
        <f>IF($B750="PAGADO","PAGADO",IF($B750="APARTADO",IF(NOT(ISNUMBER($C750)),"APARTADO",IF($C750&lt;1,"APARTADO",IF(NOW()-$C750&gt;1,"LIBRE","APARTADO"))),"LIBRE"))</f>
        <v/>
      </c>
      <c r="H750" s="15">
        <f>IF($G750&lt;&gt;"APARTADO","",IF(NOT(ISNUMBER($C750)),"FALTA LA HORA",IF($C750&lt;1,"FALTA LA FECHA",TEXT($C750+1,"dd/mm hh:mm"))))</f>
        <v/>
      </c>
    </row>
    <row r="751">
      <c r="A751" s="13" t="inlineStr">
        <is>
          <t>749</t>
        </is>
      </c>
      <c r="B751" t="inlineStr">
        <is>
          <t>LIBRE</t>
        </is>
      </c>
      <c r="C751" s="14" t="n"/>
      <c r="E751" s="15">
        <f>IF($G751&lt;&gt;"PAGADO","",IFERROR(IF(VLOOKUP($A751,COMPRADORES!$A:$D,4,FALSE)="NO","Reservado",LEFT(VLOOKUP($A751,COMPRADORES!$A:$D,2,FALSE),3)&amp;"***"&amp;IF(TRIM(MID(VLOOKUP($A751,COMPRADORES!$A:$D,2,FALSE)&amp;" ",FIND(" ",VLOOKUP($A751,COMPRADORES!$A:$D,2,FALSE)&amp;" ")+1,99))="",""," "&amp;LEFT(TRIM(MID(VLOOKUP($A751,COMPRADORES!$A:$D,2,FALSE)&amp;" ",FIND(" ",VLOOKUP($A751,COMPRADORES!$A:$D,2,FALSE)&amp;" ")+1,99)),1)&amp;".")),""))</f>
        <v/>
      </c>
      <c r="F751" s="16">
        <f>IF($B751="PAGADO",MID("ABCDEFGHIJ",INT(VALUE($A751)/100)+1,1)&amp;"-"&amp;$A751,"")</f>
        <v/>
      </c>
      <c r="G751" s="16">
        <f>IF($B751="PAGADO","PAGADO",IF($B751="APARTADO",IF(NOT(ISNUMBER($C751)),"APARTADO",IF($C751&lt;1,"APARTADO",IF(NOW()-$C751&gt;1,"LIBRE","APARTADO"))),"LIBRE"))</f>
        <v/>
      </c>
      <c r="H751" s="15">
        <f>IF($G751&lt;&gt;"APARTADO","",IF(NOT(ISNUMBER($C751)),"FALTA LA HORA",IF($C751&lt;1,"FALTA LA FECHA",TEXT($C751+1,"dd/mm hh:mm"))))</f>
        <v/>
      </c>
    </row>
    <row r="752">
      <c r="A752" s="13" t="inlineStr">
        <is>
          <t>750</t>
        </is>
      </c>
      <c r="B752" t="inlineStr">
        <is>
          <t>LIBRE</t>
        </is>
      </c>
      <c r="C752" s="14" t="n"/>
      <c r="E752" s="15">
        <f>IF($G752&lt;&gt;"PAGADO","",IFERROR(IF(VLOOKUP($A752,COMPRADORES!$A:$D,4,FALSE)="NO","Reservado",LEFT(VLOOKUP($A752,COMPRADORES!$A:$D,2,FALSE),3)&amp;"***"&amp;IF(TRIM(MID(VLOOKUP($A752,COMPRADORES!$A:$D,2,FALSE)&amp;" ",FIND(" ",VLOOKUP($A752,COMPRADORES!$A:$D,2,FALSE)&amp;" ")+1,99))="",""," "&amp;LEFT(TRIM(MID(VLOOKUP($A752,COMPRADORES!$A:$D,2,FALSE)&amp;" ",FIND(" ",VLOOKUP($A752,COMPRADORES!$A:$D,2,FALSE)&amp;" ")+1,99)),1)&amp;".")),""))</f>
        <v/>
      </c>
      <c r="F752" s="16">
        <f>IF($B752="PAGADO",MID("ABCDEFGHIJ",INT(VALUE($A752)/100)+1,1)&amp;"-"&amp;$A752,"")</f>
        <v/>
      </c>
      <c r="G752" s="16">
        <f>IF($B752="PAGADO","PAGADO",IF($B752="APARTADO",IF(NOT(ISNUMBER($C752)),"APARTADO",IF($C752&lt;1,"APARTADO",IF(NOW()-$C752&gt;1,"LIBRE","APARTADO"))),"LIBRE"))</f>
        <v/>
      </c>
      <c r="H752" s="15">
        <f>IF($G752&lt;&gt;"APARTADO","",IF(NOT(ISNUMBER($C752)),"FALTA LA HORA",IF($C752&lt;1,"FALTA LA FECHA",TEXT($C752+1,"dd/mm hh:mm"))))</f>
        <v/>
      </c>
    </row>
    <row r="753">
      <c r="A753" s="13" t="inlineStr">
        <is>
          <t>751</t>
        </is>
      </c>
      <c r="B753" t="inlineStr">
        <is>
          <t>LIBRE</t>
        </is>
      </c>
      <c r="C753" s="14" t="n"/>
      <c r="E753" s="15">
        <f>IF($G753&lt;&gt;"PAGADO","",IFERROR(IF(VLOOKUP($A753,COMPRADORES!$A:$D,4,FALSE)="NO","Reservado",LEFT(VLOOKUP($A753,COMPRADORES!$A:$D,2,FALSE),3)&amp;"***"&amp;IF(TRIM(MID(VLOOKUP($A753,COMPRADORES!$A:$D,2,FALSE)&amp;" ",FIND(" ",VLOOKUP($A753,COMPRADORES!$A:$D,2,FALSE)&amp;" ")+1,99))="",""," "&amp;LEFT(TRIM(MID(VLOOKUP($A753,COMPRADORES!$A:$D,2,FALSE)&amp;" ",FIND(" ",VLOOKUP($A753,COMPRADORES!$A:$D,2,FALSE)&amp;" ")+1,99)),1)&amp;".")),""))</f>
        <v/>
      </c>
      <c r="F753" s="16">
        <f>IF($B753="PAGADO",MID("ABCDEFGHIJ",INT(VALUE($A753)/100)+1,1)&amp;"-"&amp;$A753,"")</f>
        <v/>
      </c>
      <c r="G753" s="16">
        <f>IF($B753="PAGADO","PAGADO",IF($B753="APARTADO",IF(NOT(ISNUMBER($C753)),"APARTADO",IF($C753&lt;1,"APARTADO",IF(NOW()-$C753&gt;1,"LIBRE","APARTADO"))),"LIBRE"))</f>
        <v/>
      </c>
      <c r="H753" s="15">
        <f>IF($G753&lt;&gt;"APARTADO","",IF(NOT(ISNUMBER($C753)),"FALTA LA HORA",IF($C753&lt;1,"FALTA LA FECHA",TEXT($C753+1,"dd/mm hh:mm"))))</f>
        <v/>
      </c>
    </row>
    <row r="754">
      <c r="A754" s="13" t="inlineStr">
        <is>
          <t>752</t>
        </is>
      </c>
      <c r="B754" t="inlineStr">
        <is>
          <t>LIBRE</t>
        </is>
      </c>
      <c r="C754" s="14" t="n"/>
      <c r="E754" s="15">
        <f>IF($G754&lt;&gt;"PAGADO","",IFERROR(IF(VLOOKUP($A754,COMPRADORES!$A:$D,4,FALSE)="NO","Reservado",LEFT(VLOOKUP($A754,COMPRADORES!$A:$D,2,FALSE),3)&amp;"***"&amp;IF(TRIM(MID(VLOOKUP($A754,COMPRADORES!$A:$D,2,FALSE)&amp;" ",FIND(" ",VLOOKUP($A754,COMPRADORES!$A:$D,2,FALSE)&amp;" ")+1,99))="",""," "&amp;LEFT(TRIM(MID(VLOOKUP($A754,COMPRADORES!$A:$D,2,FALSE)&amp;" ",FIND(" ",VLOOKUP($A754,COMPRADORES!$A:$D,2,FALSE)&amp;" ")+1,99)),1)&amp;".")),""))</f>
        <v/>
      </c>
      <c r="F754" s="16">
        <f>IF($B754="PAGADO",MID("ABCDEFGHIJ",INT(VALUE($A754)/100)+1,1)&amp;"-"&amp;$A754,"")</f>
        <v/>
      </c>
      <c r="G754" s="16">
        <f>IF($B754="PAGADO","PAGADO",IF($B754="APARTADO",IF(NOT(ISNUMBER($C754)),"APARTADO",IF($C754&lt;1,"APARTADO",IF(NOW()-$C754&gt;1,"LIBRE","APARTADO"))),"LIBRE"))</f>
        <v/>
      </c>
      <c r="H754" s="15">
        <f>IF($G754&lt;&gt;"APARTADO","",IF(NOT(ISNUMBER($C754)),"FALTA LA HORA",IF($C754&lt;1,"FALTA LA FECHA",TEXT($C754+1,"dd/mm hh:mm"))))</f>
        <v/>
      </c>
    </row>
    <row r="755">
      <c r="A755" s="13" t="inlineStr">
        <is>
          <t>753</t>
        </is>
      </c>
      <c r="B755" t="inlineStr">
        <is>
          <t>LIBRE</t>
        </is>
      </c>
      <c r="C755" s="14" t="n"/>
      <c r="E755" s="15">
        <f>IF($G755&lt;&gt;"PAGADO","",IFERROR(IF(VLOOKUP($A755,COMPRADORES!$A:$D,4,FALSE)="NO","Reservado",LEFT(VLOOKUP($A755,COMPRADORES!$A:$D,2,FALSE),3)&amp;"***"&amp;IF(TRIM(MID(VLOOKUP($A755,COMPRADORES!$A:$D,2,FALSE)&amp;" ",FIND(" ",VLOOKUP($A755,COMPRADORES!$A:$D,2,FALSE)&amp;" ")+1,99))="",""," "&amp;LEFT(TRIM(MID(VLOOKUP($A755,COMPRADORES!$A:$D,2,FALSE)&amp;" ",FIND(" ",VLOOKUP($A755,COMPRADORES!$A:$D,2,FALSE)&amp;" ")+1,99)),1)&amp;".")),""))</f>
        <v/>
      </c>
      <c r="F755" s="16">
        <f>IF($B755="PAGADO",MID("ABCDEFGHIJ",INT(VALUE($A755)/100)+1,1)&amp;"-"&amp;$A755,"")</f>
        <v/>
      </c>
      <c r="G755" s="16">
        <f>IF($B755="PAGADO","PAGADO",IF($B755="APARTADO",IF(NOT(ISNUMBER($C755)),"APARTADO",IF($C755&lt;1,"APARTADO",IF(NOW()-$C755&gt;1,"LIBRE","APARTADO"))),"LIBRE"))</f>
        <v/>
      </c>
      <c r="H755" s="15">
        <f>IF($G755&lt;&gt;"APARTADO","",IF(NOT(ISNUMBER($C755)),"FALTA LA HORA",IF($C755&lt;1,"FALTA LA FECHA",TEXT($C755+1,"dd/mm hh:mm"))))</f>
        <v/>
      </c>
    </row>
    <row r="756">
      <c r="A756" s="13" t="inlineStr">
        <is>
          <t>754</t>
        </is>
      </c>
      <c r="B756" t="inlineStr">
        <is>
          <t>LIBRE</t>
        </is>
      </c>
      <c r="C756" s="14" t="n"/>
      <c r="E756" s="15">
        <f>IF($G756&lt;&gt;"PAGADO","",IFERROR(IF(VLOOKUP($A756,COMPRADORES!$A:$D,4,FALSE)="NO","Reservado",LEFT(VLOOKUP($A756,COMPRADORES!$A:$D,2,FALSE),3)&amp;"***"&amp;IF(TRIM(MID(VLOOKUP($A756,COMPRADORES!$A:$D,2,FALSE)&amp;" ",FIND(" ",VLOOKUP($A756,COMPRADORES!$A:$D,2,FALSE)&amp;" ")+1,99))="",""," "&amp;LEFT(TRIM(MID(VLOOKUP($A756,COMPRADORES!$A:$D,2,FALSE)&amp;" ",FIND(" ",VLOOKUP($A756,COMPRADORES!$A:$D,2,FALSE)&amp;" ")+1,99)),1)&amp;".")),""))</f>
        <v/>
      </c>
      <c r="F756" s="16">
        <f>IF($B756="PAGADO",MID("ABCDEFGHIJ",INT(VALUE($A756)/100)+1,1)&amp;"-"&amp;$A756,"")</f>
        <v/>
      </c>
      <c r="G756" s="16">
        <f>IF($B756="PAGADO","PAGADO",IF($B756="APARTADO",IF(NOT(ISNUMBER($C756)),"APARTADO",IF($C756&lt;1,"APARTADO",IF(NOW()-$C756&gt;1,"LIBRE","APARTADO"))),"LIBRE"))</f>
        <v/>
      </c>
      <c r="H756" s="15">
        <f>IF($G756&lt;&gt;"APARTADO","",IF(NOT(ISNUMBER($C756)),"FALTA LA HORA",IF($C756&lt;1,"FALTA LA FECHA",TEXT($C756+1,"dd/mm hh:mm"))))</f>
        <v/>
      </c>
    </row>
    <row r="757">
      <c r="A757" s="13" t="inlineStr">
        <is>
          <t>755</t>
        </is>
      </c>
      <c r="B757" t="inlineStr">
        <is>
          <t>LIBRE</t>
        </is>
      </c>
      <c r="C757" s="14" t="n"/>
      <c r="E757" s="15">
        <f>IF($G757&lt;&gt;"PAGADO","",IFERROR(IF(VLOOKUP($A757,COMPRADORES!$A:$D,4,FALSE)="NO","Reservado",LEFT(VLOOKUP($A757,COMPRADORES!$A:$D,2,FALSE),3)&amp;"***"&amp;IF(TRIM(MID(VLOOKUP($A757,COMPRADORES!$A:$D,2,FALSE)&amp;" ",FIND(" ",VLOOKUP($A757,COMPRADORES!$A:$D,2,FALSE)&amp;" ")+1,99))="",""," "&amp;LEFT(TRIM(MID(VLOOKUP($A757,COMPRADORES!$A:$D,2,FALSE)&amp;" ",FIND(" ",VLOOKUP($A757,COMPRADORES!$A:$D,2,FALSE)&amp;" ")+1,99)),1)&amp;".")),""))</f>
        <v/>
      </c>
      <c r="F757" s="16">
        <f>IF($B757="PAGADO",MID("ABCDEFGHIJ",INT(VALUE($A757)/100)+1,1)&amp;"-"&amp;$A757,"")</f>
        <v/>
      </c>
      <c r="G757" s="16">
        <f>IF($B757="PAGADO","PAGADO",IF($B757="APARTADO",IF(NOT(ISNUMBER($C757)),"APARTADO",IF($C757&lt;1,"APARTADO",IF(NOW()-$C757&gt;1,"LIBRE","APARTADO"))),"LIBRE"))</f>
        <v/>
      </c>
      <c r="H757" s="15">
        <f>IF($G757&lt;&gt;"APARTADO","",IF(NOT(ISNUMBER($C757)),"FALTA LA HORA",IF($C757&lt;1,"FALTA LA FECHA",TEXT($C757+1,"dd/mm hh:mm"))))</f>
        <v/>
      </c>
    </row>
    <row r="758">
      <c r="A758" s="13" t="inlineStr">
        <is>
          <t>756</t>
        </is>
      </c>
      <c r="B758" t="inlineStr">
        <is>
          <t>LIBRE</t>
        </is>
      </c>
      <c r="C758" s="14" t="n"/>
      <c r="E758" s="15">
        <f>IF($G758&lt;&gt;"PAGADO","",IFERROR(IF(VLOOKUP($A758,COMPRADORES!$A:$D,4,FALSE)="NO","Reservado",LEFT(VLOOKUP($A758,COMPRADORES!$A:$D,2,FALSE),3)&amp;"***"&amp;IF(TRIM(MID(VLOOKUP($A758,COMPRADORES!$A:$D,2,FALSE)&amp;" ",FIND(" ",VLOOKUP($A758,COMPRADORES!$A:$D,2,FALSE)&amp;" ")+1,99))="",""," "&amp;LEFT(TRIM(MID(VLOOKUP($A758,COMPRADORES!$A:$D,2,FALSE)&amp;" ",FIND(" ",VLOOKUP($A758,COMPRADORES!$A:$D,2,FALSE)&amp;" ")+1,99)),1)&amp;".")),""))</f>
        <v/>
      </c>
      <c r="F758" s="16">
        <f>IF($B758="PAGADO",MID("ABCDEFGHIJ",INT(VALUE($A758)/100)+1,1)&amp;"-"&amp;$A758,"")</f>
        <v/>
      </c>
      <c r="G758" s="16">
        <f>IF($B758="PAGADO","PAGADO",IF($B758="APARTADO",IF(NOT(ISNUMBER($C758)),"APARTADO",IF($C758&lt;1,"APARTADO",IF(NOW()-$C758&gt;1,"LIBRE","APARTADO"))),"LIBRE"))</f>
        <v/>
      </c>
      <c r="H758" s="15">
        <f>IF($G758&lt;&gt;"APARTADO","",IF(NOT(ISNUMBER($C758)),"FALTA LA HORA",IF($C758&lt;1,"FALTA LA FECHA",TEXT($C758+1,"dd/mm hh:mm"))))</f>
        <v/>
      </c>
    </row>
    <row r="759">
      <c r="A759" s="13" t="inlineStr">
        <is>
          <t>757</t>
        </is>
      </c>
      <c r="B759" t="inlineStr">
        <is>
          <t>LIBRE</t>
        </is>
      </c>
      <c r="C759" s="14" t="n"/>
      <c r="E759" s="15">
        <f>IF($G759&lt;&gt;"PAGADO","",IFERROR(IF(VLOOKUP($A759,COMPRADORES!$A:$D,4,FALSE)="NO","Reservado",LEFT(VLOOKUP($A759,COMPRADORES!$A:$D,2,FALSE),3)&amp;"***"&amp;IF(TRIM(MID(VLOOKUP($A759,COMPRADORES!$A:$D,2,FALSE)&amp;" ",FIND(" ",VLOOKUP($A759,COMPRADORES!$A:$D,2,FALSE)&amp;" ")+1,99))="",""," "&amp;LEFT(TRIM(MID(VLOOKUP($A759,COMPRADORES!$A:$D,2,FALSE)&amp;" ",FIND(" ",VLOOKUP($A759,COMPRADORES!$A:$D,2,FALSE)&amp;" ")+1,99)),1)&amp;".")),""))</f>
        <v/>
      </c>
      <c r="F759" s="16">
        <f>IF($B759="PAGADO",MID("ABCDEFGHIJ",INT(VALUE($A759)/100)+1,1)&amp;"-"&amp;$A759,"")</f>
        <v/>
      </c>
      <c r="G759" s="16">
        <f>IF($B759="PAGADO","PAGADO",IF($B759="APARTADO",IF(NOT(ISNUMBER($C759)),"APARTADO",IF($C759&lt;1,"APARTADO",IF(NOW()-$C759&gt;1,"LIBRE","APARTADO"))),"LIBRE"))</f>
        <v/>
      </c>
      <c r="H759" s="15">
        <f>IF($G759&lt;&gt;"APARTADO","",IF(NOT(ISNUMBER($C759)),"FALTA LA HORA",IF($C759&lt;1,"FALTA LA FECHA",TEXT($C759+1,"dd/mm hh:mm"))))</f>
        <v/>
      </c>
    </row>
    <row r="760">
      <c r="A760" s="13" t="inlineStr">
        <is>
          <t>758</t>
        </is>
      </c>
      <c r="B760" t="inlineStr">
        <is>
          <t>LIBRE</t>
        </is>
      </c>
      <c r="C760" s="14" t="n"/>
      <c r="E760" s="15">
        <f>IF($G760&lt;&gt;"PAGADO","",IFERROR(IF(VLOOKUP($A760,COMPRADORES!$A:$D,4,FALSE)="NO","Reservado",LEFT(VLOOKUP($A760,COMPRADORES!$A:$D,2,FALSE),3)&amp;"***"&amp;IF(TRIM(MID(VLOOKUP($A760,COMPRADORES!$A:$D,2,FALSE)&amp;" ",FIND(" ",VLOOKUP($A760,COMPRADORES!$A:$D,2,FALSE)&amp;" ")+1,99))="",""," "&amp;LEFT(TRIM(MID(VLOOKUP($A760,COMPRADORES!$A:$D,2,FALSE)&amp;" ",FIND(" ",VLOOKUP($A760,COMPRADORES!$A:$D,2,FALSE)&amp;" ")+1,99)),1)&amp;".")),""))</f>
        <v/>
      </c>
      <c r="F760" s="16">
        <f>IF($B760="PAGADO",MID("ABCDEFGHIJ",INT(VALUE($A760)/100)+1,1)&amp;"-"&amp;$A760,"")</f>
        <v/>
      </c>
      <c r="G760" s="16">
        <f>IF($B760="PAGADO","PAGADO",IF($B760="APARTADO",IF(NOT(ISNUMBER($C760)),"APARTADO",IF($C760&lt;1,"APARTADO",IF(NOW()-$C760&gt;1,"LIBRE","APARTADO"))),"LIBRE"))</f>
        <v/>
      </c>
      <c r="H760" s="15">
        <f>IF($G760&lt;&gt;"APARTADO","",IF(NOT(ISNUMBER($C760)),"FALTA LA HORA",IF($C760&lt;1,"FALTA LA FECHA",TEXT($C760+1,"dd/mm hh:mm"))))</f>
        <v/>
      </c>
    </row>
    <row r="761">
      <c r="A761" s="13" t="inlineStr">
        <is>
          <t>759</t>
        </is>
      </c>
      <c r="B761" t="inlineStr">
        <is>
          <t>LIBRE</t>
        </is>
      </c>
      <c r="C761" s="14" t="n"/>
      <c r="E761" s="15">
        <f>IF($G761&lt;&gt;"PAGADO","",IFERROR(IF(VLOOKUP($A761,COMPRADORES!$A:$D,4,FALSE)="NO","Reservado",LEFT(VLOOKUP($A761,COMPRADORES!$A:$D,2,FALSE),3)&amp;"***"&amp;IF(TRIM(MID(VLOOKUP($A761,COMPRADORES!$A:$D,2,FALSE)&amp;" ",FIND(" ",VLOOKUP($A761,COMPRADORES!$A:$D,2,FALSE)&amp;" ")+1,99))="",""," "&amp;LEFT(TRIM(MID(VLOOKUP($A761,COMPRADORES!$A:$D,2,FALSE)&amp;" ",FIND(" ",VLOOKUP($A761,COMPRADORES!$A:$D,2,FALSE)&amp;" ")+1,99)),1)&amp;".")),""))</f>
        <v/>
      </c>
      <c r="F761" s="16">
        <f>IF($B761="PAGADO",MID("ABCDEFGHIJ",INT(VALUE($A761)/100)+1,1)&amp;"-"&amp;$A761,"")</f>
        <v/>
      </c>
      <c r="G761" s="16">
        <f>IF($B761="PAGADO","PAGADO",IF($B761="APARTADO",IF(NOT(ISNUMBER($C761)),"APARTADO",IF($C761&lt;1,"APARTADO",IF(NOW()-$C761&gt;1,"LIBRE","APARTADO"))),"LIBRE"))</f>
        <v/>
      </c>
      <c r="H761" s="15">
        <f>IF($G761&lt;&gt;"APARTADO","",IF(NOT(ISNUMBER($C761)),"FALTA LA HORA",IF($C761&lt;1,"FALTA LA FECHA",TEXT($C761+1,"dd/mm hh:mm"))))</f>
        <v/>
      </c>
    </row>
    <row r="762">
      <c r="A762" s="13" t="inlineStr">
        <is>
          <t>760</t>
        </is>
      </c>
      <c r="B762" t="inlineStr">
        <is>
          <t>LIBRE</t>
        </is>
      </c>
      <c r="C762" s="14" t="n"/>
      <c r="E762" s="15">
        <f>IF($G762&lt;&gt;"PAGADO","",IFERROR(IF(VLOOKUP($A762,COMPRADORES!$A:$D,4,FALSE)="NO","Reservado",LEFT(VLOOKUP($A762,COMPRADORES!$A:$D,2,FALSE),3)&amp;"***"&amp;IF(TRIM(MID(VLOOKUP($A762,COMPRADORES!$A:$D,2,FALSE)&amp;" ",FIND(" ",VLOOKUP($A762,COMPRADORES!$A:$D,2,FALSE)&amp;" ")+1,99))="",""," "&amp;LEFT(TRIM(MID(VLOOKUP($A762,COMPRADORES!$A:$D,2,FALSE)&amp;" ",FIND(" ",VLOOKUP($A762,COMPRADORES!$A:$D,2,FALSE)&amp;" ")+1,99)),1)&amp;".")),""))</f>
        <v/>
      </c>
      <c r="F762" s="16">
        <f>IF($B762="PAGADO",MID("ABCDEFGHIJ",INT(VALUE($A762)/100)+1,1)&amp;"-"&amp;$A762,"")</f>
        <v/>
      </c>
      <c r="G762" s="16">
        <f>IF($B762="PAGADO","PAGADO",IF($B762="APARTADO",IF(NOT(ISNUMBER($C762)),"APARTADO",IF($C762&lt;1,"APARTADO",IF(NOW()-$C762&gt;1,"LIBRE","APARTADO"))),"LIBRE"))</f>
        <v/>
      </c>
      <c r="H762" s="15">
        <f>IF($G762&lt;&gt;"APARTADO","",IF(NOT(ISNUMBER($C762)),"FALTA LA HORA",IF($C762&lt;1,"FALTA LA FECHA",TEXT($C762+1,"dd/mm hh:mm"))))</f>
        <v/>
      </c>
    </row>
    <row r="763">
      <c r="A763" s="13" t="inlineStr">
        <is>
          <t>761</t>
        </is>
      </c>
      <c r="B763" t="inlineStr">
        <is>
          <t>LIBRE</t>
        </is>
      </c>
      <c r="C763" s="14" t="n"/>
      <c r="E763" s="15">
        <f>IF($G763&lt;&gt;"PAGADO","",IFERROR(IF(VLOOKUP($A763,COMPRADORES!$A:$D,4,FALSE)="NO","Reservado",LEFT(VLOOKUP($A763,COMPRADORES!$A:$D,2,FALSE),3)&amp;"***"&amp;IF(TRIM(MID(VLOOKUP($A763,COMPRADORES!$A:$D,2,FALSE)&amp;" ",FIND(" ",VLOOKUP($A763,COMPRADORES!$A:$D,2,FALSE)&amp;" ")+1,99))="",""," "&amp;LEFT(TRIM(MID(VLOOKUP($A763,COMPRADORES!$A:$D,2,FALSE)&amp;" ",FIND(" ",VLOOKUP($A763,COMPRADORES!$A:$D,2,FALSE)&amp;" ")+1,99)),1)&amp;".")),""))</f>
        <v/>
      </c>
      <c r="F763" s="16">
        <f>IF($B763="PAGADO",MID("ABCDEFGHIJ",INT(VALUE($A763)/100)+1,1)&amp;"-"&amp;$A763,"")</f>
        <v/>
      </c>
      <c r="G763" s="16">
        <f>IF($B763="PAGADO","PAGADO",IF($B763="APARTADO",IF(NOT(ISNUMBER($C763)),"APARTADO",IF($C763&lt;1,"APARTADO",IF(NOW()-$C763&gt;1,"LIBRE","APARTADO"))),"LIBRE"))</f>
        <v/>
      </c>
      <c r="H763" s="15">
        <f>IF($G763&lt;&gt;"APARTADO","",IF(NOT(ISNUMBER($C763)),"FALTA LA HORA",IF($C763&lt;1,"FALTA LA FECHA",TEXT($C763+1,"dd/mm hh:mm"))))</f>
        <v/>
      </c>
    </row>
    <row r="764">
      <c r="A764" s="13" t="inlineStr">
        <is>
          <t>762</t>
        </is>
      </c>
      <c r="B764" t="inlineStr">
        <is>
          <t>LIBRE</t>
        </is>
      </c>
      <c r="C764" s="14" t="n"/>
      <c r="E764" s="15">
        <f>IF($G764&lt;&gt;"PAGADO","",IFERROR(IF(VLOOKUP($A764,COMPRADORES!$A:$D,4,FALSE)="NO","Reservado",LEFT(VLOOKUP($A764,COMPRADORES!$A:$D,2,FALSE),3)&amp;"***"&amp;IF(TRIM(MID(VLOOKUP($A764,COMPRADORES!$A:$D,2,FALSE)&amp;" ",FIND(" ",VLOOKUP($A764,COMPRADORES!$A:$D,2,FALSE)&amp;" ")+1,99))="",""," "&amp;LEFT(TRIM(MID(VLOOKUP($A764,COMPRADORES!$A:$D,2,FALSE)&amp;" ",FIND(" ",VLOOKUP($A764,COMPRADORES!$A:$D,2,FALSE)&amp;" ")+1,99)),1)&amp;".")),""))</f>
        <v/>
      </c>
      <c r="F764" s="16">
        <f>IF($B764="PAGADO",MID("ABCDEFGHIJ",INT(VALUE($A764)/100)+1,1)&amp;"-"&amp;$A764,"")</f>
        <v/>
      </c>
      <c r="G764" s="16">
        <f>IF($B764="PAGADO","PAGADO",IF($B764="APARTADO",IF(NOT(ISNUMBER($C764)),"APARTADO",IF($C764&lt;1,"APARTADO",IF(NOW()-$C764&gt;1,"LIBRE","APARTADO"))),"LIBRE"))</f>
        <v/>
      </c>
      <c r="H764" s="15">
        <f>IF($G764&lt;&gt;"APARTADO","",IF(NOT(ISNUMBER($C764)),"FALTA LA HORA",IF($C764&lt;1,"FALTA LA FECHA",TEXT($C764+1,"dd/mm hh:mm"))))</f>
        <v/>
      </c>
    </row>
    <row r="765">
      <c r="A765" s="13" t="inlineStr">
        <is>
          <t>763</t>
        </is>
      </c>
      <c r="B765" t="inlineStr">
        <is>
          <t>LIBRE</t>
        </is>
      </c>
      <c r="C765" s="14" t="n"/>
      <c r="E765" s="15">
        <f>IF($G765&lt;&gt;"PAGADO","",IFERROR(IF(VLOOKUP($A765,COMPRADORES!$A:$D,4,FALSE)="NO","Reservado",LEFT(VLOOKUP($A765,COMPRADORES!$A:$D,2,FALSE),3)&amp;"***"&amp;IF(TRIM(MID(VLOOKUP($A765,COMPRADORES!$A:$D,2,FALSE)&amp;" ",FIND(" ",VLOOKUP($A765,COMPRADORES!$A:$D,2,FALSE)&amp;" ")+1,99))="",""," "&amp;LEFT(TRIM(MID(VLOOKUP($A765,COMPRADORES!$A:$D,2,FALSE)&amp;" ",FIND(" ",VLOOKUP($A765,COMPRADORES!$A:$D,2,FALSE)&amp;" ")+1,99)),1)&amp;".")),""))</f>
        <v/>
      </c>
      <c r="F765" s="16">
        <f>IF($B765="PAGADO",MID("ABCDEFGHIJ",INT(VALUE($A765)/100)+1,1)&amp;"-"&amp;$A765,"")</f>
        <v/>
      </c>
      <c r="G765" s="16">
        <f>IF($B765="PAGADO","PAGADO",IF($B765="APARTADO",IF(NOT(ISNUMBER($C765)),"APARTADO",IF($C765&lt;1,"APARTADO",IF(NOW()-$C765&gt;1,"LIBRE","APARTADO"))),"LIBRE"))</f>
        <v/>
      </c>
      <c r="H765" s="15">
        <f>IF($G765&lt;&gt;"APARTADO","",IF(NOT(ISNUMBER($C765)),"FALTA LA HORA",IF($C765&lt;1,"FALTA LA FECHA",TEXT($C765+1,"dd/mm hh:mm"))))</f>
        <v/>
      </c>
    </row>
    <row r="766">
      <c r="A766" s="13" t="inlineStr">
        <is>
          <t>764</t>
        </is>
      </c>
      <c r="B766" t="inlineStr">
        <is>
          <t>LIBRE</t>
        </is>
      </c>
      <c r="C766" s="14" t="n"/>
      <c r="E766" s="15">
        <f>IF($G766&lt;&gt;"PAGADO","",IFERROR(IF(VLOOKUP($A766,COMPRADORES!$A:$D,4,FALSE)="NO","Reservado",LEFT(VLOOKUP($A766,COMPRADORES!$A:$D,2,FALSE),3)&amp;"***"&amp;IF(TRIM(MID(VLOOKUP($A766,COMPRADORES!$A:$D,2,FALSE)&amp;" ",FIND(" ",VLOOKUP($A766,COMPRADORES!$A:$D,2,FALSE)&amp;" ")+1,99))="",""," "&amp;LEFT(TRIM(MID(VLOOKUP($A766,COMPRADORES!$A:$D,2,FALSE)&amp;" ",FIND(" ",VLOOKUP($A766,COMPRADORES!$A:$D,2,FALSE)&amp;" ")+1,99)),1)&amp;".")),""))</f>
        <v/>
      </c>
      <c r="F766" s="16">
        <f>IF($B766="PAGADO",MID("ABCDEFGHIJ",INT(VALUE($A766)/100)+1,1)&amp;"-"&amp;$A766,"")</f>
        <v/>
      </c>
      <c r="G766" s="16">
        <f>IF($B766="PAGADO","PAGADO",IF($B766="APARTADO",IF(NOT(ISNUMBER($C766)),"APARTADO",IF($C766&lt;1,"APARTADO",IF(NOW()-$C766&gt;1,"LIBRE","APARTADO"))),"LIBRE"))</f>
        <v/>
      </c>
      <c r="H766" s="15">
        <f>IF($G766&lt;&gt;"APARTADO","",IF(NOT(ISNUMBER($C766)),"FALTA LA HORA",IF($C766&lt;1,"FALTA LA FECHA",TEXT($C766+1,"dd/mm hh:mm"))))</f>
        <v/>
      </c>
    </row>
    <row r="767">
      <c r="A767" s="13" t="inlineStr">
        <is>
          <t>765</t>
        </is>
      </c>
      <c r="B767" t="inlineStr">
        <is>
          <t>LIBRE</t>
        </is>
      </c>
      <c r="C767" s="14" t="n"/>
      <c r="E767" s="15">
        <f>IF($G767&lt;&gt;"PAGADO","",IFERROR(IF(VLOOKUP($A767,COMPRADORES!$A:$D,4,FALSE)="NO","Reservado",LEFT(VLOOKUP($A767,COMPRADORES!$A:$D,2,FALSE),3)&amp;"***"&amp;IF(TRIM(MID(VLOOKUP($A767,COMPRADORES!$A:$D,2,FALSE)&amp;" ",FIND(" ",VLOOKUP($A767,COMPRADORES!$A:$D,2,FALSE)&amp;" ")+1,99))="",""," "&amp;LEFT(TRIM(MID(VLOOKUP($A767,COMPRADORES!$A:$D,2,FALSE)&amp;" ",FIND(" ",VLOOKUP($A767,COMPRADORES!$A:$D,2,FALSE)&amp;" ")+1,99)),1)&amp;".")),""))</f>
        <v/>
      </c>
      <c r="F767" s="16">
        <f>IF($B767="PAGADO",MID("ABCDEFGHIJ",INT(VALUE($A767)/100)+1,1)&amp;"-"&amp;$A767,"")</f>
        <v/>
      </c>
      <c r="G767" s="16">
        <f>IF($B767="PAGADO","PAGADO",IF($B767="APARTADO",IF(NOT(ISNUMBER($C767)),"APARTADO",IF($C767&lt;1,"APARTADO",IF(NOW()-$C767&gt;1,"LIBRE","APARTADO"))),"LIBRE"))</f>
        <v/>
      </c>
      <c r="H767" s="15">
        <f>IF($G767&lt;&gt;"APARTADO","",IF(NOT(ISNUMBER($C767)),"FALTA LA HORA",IF($C767&lt;1,"FALTA LA FECHA",TEXT($C767+1,"dd/mm hh:mm"))))</f>
        <v/>
      </c>
    </row>
    <row r="768">
      <c r="A768" s="13" t="inlineStr">
        <is>
          <t>766</t>
        </is>
      </c>
      <c r="B768" t="inlineStr">
        <is>
          <t>LIBRE</t>
        </is>
      </c>
      <c r="C768" s="14" t="n"/>
      <c r="E768" s="15">
        <f>IF($G768&lt;&gt;"PAGADO","",IFERROR(IF(VLOOKUP($A768,COMPRADORES!$A:$D,4,FALSE)="NO","Reservado",LEFT(VLOOKUP($A768,COMPRADORES!$A:$D,2,FALSE),3)&amp;"***"&amp;IF(TRIM(MID(VLOOKUP($A768,COMPRADORES!$A:$D,2,FALSE)&amp;" ",FIND(" ",VLOOKUP($A768,COMPRADORES!$A:$D,2,FALSE)&amp;" ")+1,99))="",""," "&amp;LEFT(TRIM(MID(VLOOKUP($A768,COMPRADORES!$A:$D,2,FALSE)&amp;" ",FIND(" ",VLOOKUP($A768,COMPRADORES!$A:$D,2,FALSE)&amp;" ")+1,99)),1)&amp;".")),""))</f>
        <v/>
      </c>
      <c r="F768" s="16">
        <f>IF($B768="PAGADO",MID("ABCDEFGHIJ",INT(VALUE($A768)/100)+1,1)&amp;"-"&amp;$A768,"")</f>
        <v/>
      </c>
      <c r="G768" s="16">
        <f>IF($B768="PAGADO","PAGADO",IF($B768="APARTADO",IF(NOT(ISNUMBER($C768)),"APARTADO",IF($C768&lt;1,"APARTADO",IF(NOW()-$C768&gt;1,"LIBRE","APARTADO"))),"LIBRE"))</f>
        <v/>
      </c>
      <c r="H768" s="15">
        <f>IF($G768&lt;&gt;"APARTADO","",IF(NOT(ISNUMBER($C768)),"FALTA LA HORA",IF($C768&lt;1,"FALTA LA FECHA",TEXT($C768+1,"dd/mm hh:mm"))))</f>
        <v/>
      </c>
    </row>
    <row r="769">
      <c r="A769" s="13" t="inlineStr">
        <is>
          <t>767</t>
        </is>
      </c>
      <c r="B769" t="inlineStr">
        <is>
          <t>LIBRE</t>
        </is>
      </c>
      <c r="C769" s="14" t="n"/>
      <c r="E769" s="15">
        <f>IF($G769&lt;&gt;"PAGADO","",IFERROR(IF(VLOOKUP($A769,COMPRADORES!$A:$D,4,FALSE)="NO","Reservado",LEFT(VLOOKUP($A769,COMPRADORES!$A:$D,2,FALSE),3)&amp;"***"&amp;IF(TRIM(MID(VLOOKUP($A769,COMPRADORES!$A:$D,2,FALSE)&amp;" ",FIND(" ",VLOOKUP($A769,COMPRADORES!$A:$D,2,FALSE)&amp;" ")+1,99))="",""," "&amp;LEFT(TRIM(MID(VLOOKUP($A769,COMPRADORES!$A:$D,2,FALSE)&amp;" ",FIND(" ",VLOOKUP($A769,COMPRADORES!$A:$D,2,FALSE)&amp;" ")+1,99)),1)&amp;".")),""))</f>
        <v/>
      </c>
      <c r="F769" s="16">
        <f>IF($B769="PAGADO",MID("ABCDEFGHIJ",INT(VALUE($A769)/100)+1,1)&amp;"-"&amp;$A769,"")</f>
        <v/>
      </c>
      <c r="G769" s="16">
        <f>IF($B769="PAGADO","PAGADO",IF($B769="APARTADO",IF(NOT(ISNUMBER($C769)),"APARTADO",IF($C769&lt;1,"APARTADO",IF(NOW()-$C769&gt;1,"LIBRE","APARTADO"))),"LIBRE"))</f>
        <v/>
      </c>
      <c r="H769" s="15">
        <f>IF($G769&lt;&gt;"APARTADO","",IF(NOT(ISNUMBER($C769)),"FALTA LA HORA",IF($C769&lt;1,"FALTA LA FECHA",TEXT($C769+1,"dd/mm hh:mm"))))</f>
        <v/>
      </c>
    </row>
    <row r="770">
      <c r="A770" s="13" t="inlineStr">
        <is>
          <t>768</t>
        </is>
      </c>
      <c r="B770" t="inlineStr">
        <is>
          <t>LIBRE</t>
        </is>
      </c>
      <c r="C770" s="14" t="n"/>
      <c r="E770" s="15">
        <f>IF($G770&lt;&gt;"PAGADO","",IFERROR(IF(VLOOKUP($A770,COMPRADORES!$A:$D,4,FALSE)="NO","Reservado",LEFT(VLOOKUP($A770,COMPRADORES!$A:$D,2,FALSE),3)&amp;"***"&amp;IF(TRIM(MID(VLOOKUP($A770,COMPRADORES!$A:$D,2,FALSE)&amp;" ",FIND(" ",VLOOKUP($A770,COMPRADORES!$A:$D,2,FALSE)&amp;" ")+1,99))="",""," "&amp;LEFT(TRIM(MID(VLOOKUP($A770,COMPRADORES!$A:$D,2,FALSE)&amp;" ",FIND(" ",VLOOKUP($A770,COMPRADORES!$A:$D,2,FALSE)&amp;" ")+1,99)),1)&amp;".")),""))</f>
        <v/>
      </c>
      <c r="F770" s="16">
        <f>IF($B770="PAGADO",MID("ABCDEFGHIJ",INT(VALUE($A770)/100)+1,1)&amp;"-"&amp;$A770,"")</f>
        <v/>
      </c>
      <c r="G770" s="16">
        <f>IF($B770="PAGADO","PAGADO",IF($B770="APARTADO",IF(NOT(ISNUMBER($C770)),"APARTADO",IF($C770&lt;1,"APARTADO",IF(NOW()-$C770&gt;1,"LIBRE","APARTADO"))),"LIBRE"))</f>
        <v/>
      </c>
      <c r="H770" s="15">
        <f>IF($G770&lt;&gt;"APARTADO","",IF(NOT(ISNUMBER($C770)),"FALTA LA HORA",IF($C770&lt;1,"FALTA LA FECHA",TEXT($C770+1,"dd/mm hh:mm"))))</f>
        <v/>
      </c>
    </row>
    <row r="771">
      <c r="A771" s="13" t="inlineStr">
        <is>
          <t>769</t>
        </is>
      </c>
      <c r="B771" t="inlineStr">
        <is>
          <t>LIBRE</t>
        </is>
      </c>
      <c r="C771" s="14" t="n"/>
      <c r="E771" s="15">
        <f>IF($G771&lt;&gt;"PAGADO","",IFERROR(IF(VLOOKUP($A771,COMPRADORES!$A:$D,4,FALSE)="NO","Reservado",LEFT(VLOOKUP($A771,COMPRADORES!$A:$D,2,FALSE),3)&amp;"***"&amp;IF(TRIM(MID(VLOOKUP($A771,COMPRADORES!$A:$D,2,FALSE)&amp;" ",FIND(" ",VLOOKUP($A771,COMPRADORES!$A:$D,2,FALSE)&amp;" ")+1,99))="",""," "&amp;LEFT(TRIM(MID(VLOOKUP($A771,COMPRADORES!$A:$D,2,FALSE)&amp;" ",FIND(" ",VLOOKUP($A771,COMPRADORES!$A:$D,2,FALSE)&amp;" ")+1,99)),1)&amp;".")),""))</f>
        <v/>
      </c>
      <c r="F771" s="16">
        <f>IF($B771="PAGADO",MID("ABCDEFGHIJ",INT(VALUE($A771)/100)+1,1)&amp;"-"&amp;$A771,"")</f>
        <v/>
      </c>
      <c r="G771" s="16">
        <f>IF($B771="PAGADO","PAGADO",IF($B771="APARTADO",IF(NOT(ISNUMBER($C771)),"APARTADO",IF($C771&lt;1,"APARTADO",IF(NOW()-$C771&gt;1,"LIBRE","APARTADO"))),"LIBRE"))</f>
        <v/>
      </c>
      <c r="H771" s="15">
        <f>IF($G771&lt;&gt;"APARTADO","",IF(NOT(ISNUMBER($C771)),"FALTA LA HORA",IF($C771&lt;1,"FALTA LA FECHA",TEXT($C771+1,"dd/mm hh:mm"))))</f>
        <v/>
      </c>
    </row>
    <row r="772">
      <c r="A772" s="13" t="inlineStr">
        <is>
          <t>770</t>
        </is>
      </c>
      <c r="B772" t="inlineStr">
        <is>
          <t>LIBRE</t>
        </is>
      </c>
      <c r="C772" s="14" t="n"/>
      <c r="E772" s="15">
        <f>IF($G772&lt;&gt;"PAGADO","",IFERROR(IF(VLOOKUP($A772,COMPRADORES!$A:$D,4,FALSE)="NO","Reservado",LEFT(VLOOKUP($A772,COMPRADORES!$A:$D,2,FALSE),3)&amp;"***"&amp;IF(TRIM(MID(VLOOKUP($A772,COMPRADORES!$A:$D,2,FALSE)&amp;" ",FIND(" ",VLOOKUP($A772,COMPRADORES!$A:$D,2,FALSE)&amp;" ")+1,99))="",""," "&amp;LEFT(TRIM(MID(VLOOKUP($A772,COMPRADORES!$A:$D,2,FALSE)&amp;" ",FIND(" ",VLOOKUP($A772,COMPRADORES!$A:$D,2,FALSE)&amp;" ")+1,99)),1)&amp;".")),""))</f>
        <v/>
      </c>
      <c r="F772" s="16">
        <f>IF($B772="PAGADO",MID("ABCDEFGHIJ",INT(VALUE($A772)/100)+1,1)&amp;"-"&amp;$A772,"")</f>
        <v/>
      </c>
      <c r="G772" s="16">
        <f>IF($B772="PAGADO","PAGADO",IF($B772="APARTADO",IF(NOT(ISNUMBER($C772)),"APARTADO",IF($C772&lt;1,"APARTADO",IF(NOW()-$C772&gt;1,"LIBRE","APARTADO"))),"LIBRE"))</f>
        <v/>
      </c>
      <c r="H772" s="15">
        <f>IF($G772&lt;&gt;"APARTADO","",IF(NOT(ISNUMBER($C772)),"FALTA LA HORA",IF($C772&lt;1,"FALTA LA FECHA",TEXT($C772+1,"dd/mm hh:mm"))))</f>
        <v/>
      </c>
    </row>
    <row r="773">
      <c r="A773" s="13" t="inlineStr">
        <is>
          <t>771</t>
        </is>
      </c>
      <c r="B773" t="inlineStr">
        <is>
          <t>LIBRE</t>
        </is>
      </c>
      <c r="C773" s="14" t="n"/>
      <c r="E773" s="15">
        <f>IF($G773&lt;&gt;"PAGADO","",IFERROR(IF(VLOOKUP($A773,COMPRADORES!$A:$D,4,FALSE)="NO","Reservado",LEFT(VLOOKUP($A773,COMPRADORES!$A:$D,2,FALSE),3)&amp;"***"&amp;IF(TRIM(MID(VLOOKUP($A773,COMPRADORES!$A:$D,2,FALSE)&amp;" ",FIND(" ",VLOOKUP($A773,COMPRADORES!$A:$D,2,FALSE)&amp;" ")+1,99))="",""," "&amp;LEFT(TRIM(MID(VLOOKUP($A773,COMPRADORES!$A:$D,2,FALSE)&amp;" ",FIND(" ",VLOOKUP($A773,COMPRADORES!$A:$D,2,FALSE)&amp;" ")+1,99)),1)&amp;".")),""))</f>
        <v/>
      </c>
      <c r="F773" s="16">
        <f>IF($B773="PAGADO",MID("ABCDEFGHIJ",INT(VALUE($A773)/100)+1,1)&amp;"-"&amp;$A773,"")</f>
        <v/>
      </c>
      <c r="G773" s="16">
        <f>IF($B773="PAGADO","PAGADO",IF($B773="APARTADO",IF(NOT(ISNUMBER($C773)),"APARTADO",IF($C773&lt;1,"APARTADO",IF(NOW()-$C773&gt;1,"LIBRE","APARTADO"))),"LIBRE"))</f>
        <v/>
      </c>
      <c r="H773" s="15">
        <f>IF($G773&lt;&gt;"APARTADO","",IF(NOT(ISNUMBER($C773)),"FALTA LA HORA",IF($C773&lt;1,"FALTA LA FECHA",TEXT($C773+1,"dd/mm hh:mm"))))</f>
        <v/>
      </c>
    </row>
    <row r="774">
      <c r="A774" s="13" t="inlineStr">
        <is>
          <t>772</t>
        </is>
      </c>
      <c r="B774" t="inlineStr">
        <is>
          <t>LIBRE</t>
        </is>
      </c>
      <c r="C774" s="14" t="n"/>
      <c r="E774" s="15">
        <f>IF($G774&lt;&gt;"PAGADO","",IFERROR(IF(VLOOKUP($A774,COMPRADORES!$A:$D,4,FALSE)="NO","Reservado",LEFT(VLOOKUP($A774,COMPRADORES!$A:$D,2,FALSE),3)&amp;"***"&amp;IF(TRIM(MID(VLOOKUP($A774,COMPRADORES!$A:$D,2,FALSE)&amp;" ",FIND(" ",VLOOKUP($A774,COMPRADORES!$A:$D,2,FALSE)&amp;" ")+1,99))="",""," "&amp;LEFT(TRIM(MID(VLOOKUP($A774,COMPRADORES!$A:$D,2,FALSE)&amp;" ",FIND(" ",VLOOKUP($A774,COMPRADORES!$A:$D,2,FALSE)&amp;" ")+1,99)),1)&amp;".")),""))</f>
        <v/>
      </c>
      <c r="F774" s="16">
        <f>IF($B774="PAGADO",MID("ABCDEFGHIJ",INT(VALUE($A774)/100)+1,1)&amp;"-"&amp;$A774,"")</f>
        <v/>
      </c>
      <c r="G774" s="16">
        <f>IF($B774="PAGADO","PAGADO",IF($B774="APARTADO",IF(NOT(ISNUMBER($C774)),"APARTADO",IF($C774&lt;1,"APARTADO",IF(NOW()-$C774&gt;1,"LIBRE","APARTADO"))),"LIBRE"))</f>
        <v/>
      </c>
      <c r="H774" s="15">
        <f>IF($G774&lt;&gt;"APARTADO","",IF(NOT(ISNUMBER($C774)),"FALTA LA HORA",IF($C774&lt;1,"FALTA LA FECHA",TEXT($C774+1,"dd/mm hh:mm"))))</f>
        <v/>
      </c>
    </row>
    <row r="775">
      <c r="A775" s="13" t="inlineStr">
        <is>
          <t>773</t>
        </is>
      </c>
      <c r="B775" t="inlineStr">
        <is>
          <t>LIBRE</t>
        </is>
      </c>
      <c r="C775" s="14" t="n"/>
      <c r="E775" s="15">
        <f>IF($G775&lt;&gt;"PAGADO","",IFERROR(IF(VLOOKUP($A775,COMPRADORES!$A:$D,4,FALSE)="NO","Reservado",LEFT(VLOOKUP($A775,COMPRADORES!$A:$D,2,FALSE),3)&amp;"***"&amp;IF(TRIM(MID(VLOOKUP($A775,COMPRADORES!$A:$D,2,FALSE)&amp;" ",FIND(" ",VLOOKUP($A775,COMPRADORES!$A:$D,2,FALSE)&amp;" ")+1,99))="",""," "&amp;LEFT(TRIM(MID(VLOOKUP($A775,COMPRADORES!$A:$D,2,FALSE)&amp;" ",FIND(" ",VLOOKUP($A775,COMPRADORES!$A:$D,2,FALSE)&amp;" ")+1,99)),1)&amp;".")),""))</f>
        <v/>
      </c>
      <c r="F775" s="16">
        <f>IF($B775="PAGADO",MID("ABCDEFGHIJ",INT(VALUE($A775)/100)+1,1)&amp;"-"&amp;$A775,"")</f>
        <v/>
      </c>
      <c r="G775" s="16">
        <f>IF($B775="PAGADO","PAGADO",IF($B775="APARTADO",IF(NOT(ISNUMBER($C775)),"APARTADO",IF($C775&lt;1,"APARTADO",IF(NOW()-$C775&gt;1,"LIBRE","APARTADO"))),"LIBRE"))</f>
        <v/>
      </c>
      <c r="H775" s="15">
        <f>IF($G775&lt;&gt;"APARTADO","",IF(NOT(ISNUMBER($C775)),"FALTA LA HORA",IF($C775&lt;1,"FALTA LA FECHA",TEXT($C775+1,"dd/mm hh:mm"))))</f>
        <v/>
      </c>
    </row>
    <row r="776">
      <c r="A776" s="13" t="inlineStr">
        <is>
          <t>774</t>
        </is>
      </c>
      <c r="B776" t="inlineStr">
        <is>
          <t>LIBRE</t>
        </is>
      </c>
      <c r="C776" s="14" t="n"/>
      <c r="E776" s="15">
        <f>IF($G776&lt;&gt;"PAGADO","",IFERROR(IF(VLOOKUP($A776,COMPRADORES!$A:$D,4,FALSE)="NO","Reservado",LEFT(VLOOKUP($A776,COMPRADORES!$A:$D,2,FALSE),3)&amp;"***"&amp;IF(TRIM(MID(VLOOKUP($A776,COMPRADORES!$A:$D,2,FALSE)&amp;" ",FIND(" ",VLOOKUP($A776,COMPRADORES!$A:$D,2,FALSE)&amp;" ")+1,99))="",""," "&amp;LEFT(TRIM(MID(VLOOKUP($A776,COMPRADORES!$A:$D,2,FALSE)&amp;" ",FIND(" ",VLOOKUP($A776,COMPRADORES!$A:$D,2,FALSE)&amp;" ")+1,99)),1)&amp;".")),""))</f>
        <v/>
      </c>
      <c r="F776" s="16">
        <f>IF($B776="PAGADO",MID("ABCDEFGHIJ",INT(VALUE($A776)/100)+1,1)&amp;"-"&amp;$A776,"")</f>
        <v/>
      </c>
      <c r="G776" s="16">
        <f>IF($B776="PAGADO","PAGADO",IF($B776="APARTADO",IF(NOT(ISNUMBER($C776)),"APARTADO",IF($C776&lt;1,"APARTADO",IF(NOW()-$C776&gt;1,"LIBRE","APARTADO"))),"LIBRE"))</f>
        <v/>
      </c>
      <c r="H776" s="15">
        <f>IF($G776&lt;&gt;"APARTADO","",IF(NOT(ISNUMBER($C776)),"FALTA LA HORA",IF($C776&lt;1,"FALTA LA FECHA",TEXT($C776+1,"dd/mm hh:mm"))))</f>
        <v/>
      </c>
    </row>
    <row r="777">
      <c r="A777" s="13" t="inlineStr">
        <is>
          <t>775</t>
        </is>
      </c>
      <c r="B777" t="inlineStr">
        <is>
          <t>LIBRE</t>
        </is>
      </c>
      <c r="C777" s="14" t="n"/>
      <c r="E777" s="15">
        <f>IF($G777&lt;&gt;"PAGADO","",IFERROR(IF(VLOOKUP($A777,COMPRADORES!$A:$D,4,FALSE)="NO","Reservado",LEFT(VLOOKUP($A777,COMPRADORES!$A:$D,2,FALSE),3)&amp;"***"&amp;IF(TRIM(MID(VLOOKUP($A777,COMPRADORES!$A:$D,2,FALSE)&amp;" ",FIND(" ",VLOOKUP($A777,COMPRADORES!$A:$D,2,FALSE)&amp;" ")+1,99))="",""," "&amp;LEFT(TRIM(MID(VLOOKUP($A777,COMPRADORES!$A:$D,2,FALSE)&amp;" ",FIND(" ",VLOOKUP($A777,COMPRADORES!$A:$D,2,FALSE)&amp;" ")+1,99)),1)&amp;".")),""))</f>
        <v/>
      </c>
      <c r="F777" s="16">
        <f>IF($B777="PAGADO",MID("ABCDEFGHIJ",INT(VALUE($A777)/100)+1,1)&amp;"-"&amp;$A777,"")</f>
        <v/>
      </c>
      <c r="G777" s="16">
        <f>IF($B777="PAGADO","PAGADO",IF($B777="APARTADO",IF(NOT(ISNUMBER($C777)),"APARTADO",IF($C777&lt;1,"APARTADO",IF(NOW()-$C777&gt;1,"LIBRE","APARTADO"))),"LIBRE"))</f>
        <v/>
      </c>
      <c r="H777" s="15">
        <f>IF($G777&lt;&gt;"APARTADO","",IF(NOT(ISNUMBER($C777)),"FALTA LA HORA",IF($C777&lt;1,"FALTA LA FECHA",TEXT($C777+1,"dd/mm hh:mm"))))</f>
        <v/>
      </c>
    </row>
    <row r="778">
      <c r="A778" s="13" t="inlineStr">
        <is>
          <t>776</t>
        </is>
      </c>
      <c r="B778" t="inlineStr">
        <is>
          <t>LIBRE</t>
        </is>
      </c>
      <c r="C778" s="14" t="n"/>
      <c r="E778" s="15">
        <f>IF($G778&lt;&gt;"PAGADO","",IFERROR(IF(VLOOKUP($A778,COMPRADORES!$A:$D,4,FALSE)="NO","Reservado",LEFT(VLOOKUP($A778,COMPRADORES!$A:$D,2,FALSE),3)&amp;"***"&amp;IF(TRIM(MID(VLOOKUP($A778,COMPRADORES!$A:$D,2,FALSE)&amp;" ",FIND(" ",VLOOKUP($A778,COMPRADORES!$A:$D,2,FALSE)&amp;" ")+1,99))="",""," "&amp;LEFT(TRIM(MID(VLOOKUP($A778,COMPRADORES!$A:$D,2,FALSE)&amp;" ",FIND(" ",VLOOKUP($A778,COMPRADORES!$A:$D,2,FALSE)&amp;" ")+1,99)),1)&amp;".")),""))</f>
        <v/>
      </c>
      <c r="F778" s="16">
        <f>IF($B778="PAGADO",MID("ABCDEFGHIJ",INT(VALUE($A778)/100)+1,1)&amp;"-"&amp;$A778,"")</f>
        <v/>
      </c>
      <c r="G778" s="16">
        <f>IF($B778="PAGADO","PAGADO",IF($B778="APARTADO",IF(NOT(ISNUMBER($C778)),"APARTADO",IF($C778&lt;1,"APARTADO",IF(NOW()-$C778&gt;1,"LIBRE","APARTADO"))),"LIBRE"))</f>
        <v/>
      </c>
      <c r="H778" s="15">
        <f>IF($G778&lt;&gt;"APARTADO","",IF(NOT(ISNUMBER($C778)),"FALTA LA HORA",IF($C778&lt;1,"FALTA LA FECHA",TEXT($C778+1,"dd/mm hh:mm"))))</f>
        <v/>
      </c>
    </row>
    <row r="779">
      <c r="A779" s="13" t="inlineStr">
        <is>
          <t>777</t>
        </is>
      </c>
      <c r="B779" t="inlineStr">
        <is>
          <t>LIBRE</t>
        </is>
      </c>
      <c r="C779" s="14" t="n"/>
      <c r="E779" s="15">
        <f>IF($G779&lt;&gt;"PAGADO","",IFERROR(IF(VLOOKUP($A779,COMPRADORES!$A:$D,4,FALSE)="NO","Reservado",LEFT(VLOOKUP($A779,COMPRADORES!$A:$D,2,FALSE),3)&amp;"***"&amp;IF(TRIM(MID(VLOOKUP($A779,COMPRADORES!$A:$D,2,FALSE)&amp;" ",FIND(" ",VLOOKUP($A779,COMPRADORES!$A:$D,2,FALSE)&amp;" ")+1,99))="",""," "&amp;LEFT(TRIM(MID(VLOOKUP($A779,COMPRADORES!$A:$D,2,FALSE)&amp;" ",FIND(" ",VLOOKUP($A779,COMPRADORES!$A:$D,2,FALSE)&amp;" ")+1,99)),1)&amp;".")),""))</f>
        <v/>
      </c>
      <c r="F779" s="16">
        <f>IF($B779="PAGADO",MID("ABCDEFGHIJ",INT(VALUE($A779)/100)+1,1)&amp;"-"&amp;$A779,"")</f>
        <v/>
      </c>
      <c r="G779" s="16">
        <f>IF($B779="PAGADO","PAGADO",IF($B779="APARTADO",IF(NOT(ISNUMBER($C779)),"APARTADO",IF($C779&lt;1,"APARTADO",IF(NOW()-$C779&gt;1,"LIBRE","APARTADO"))),"LIBRE"))</f>
        <v/>
      </c>
      <c r="H779" s="15">
        <f>IF($G779&lt;&gt;"APARTADO","",IF(NOT(ISNUMBER($C779)),"FALTA LA HORA",IF($C779&lt;1,"FALTA LA FECHA",TEXT($C779+1,"dd/mm hh:mm"))))</f>
        <v/>
      </c>
    </row>
    <row r="780">
      <c r="A780" s="13" t="inlineStr">
        <is>
          <t>778</t>
        </is>
      </c>
      <c r="B780" t="inlineStr">
        <is>
          <t>LIBRE</t>
        </is>
      </c>
      <c r="C780" s="14" t="n"/>
      <c r="E780" s="15">
        <f>IF($G780&lt;&gt;"PAGADO","",IFERROR(IF(VLOOKUP($A780,COMPRADORES!$A:$D,4,FALSE)="NO","Reservado",LEFT(VLOOKUP($A780,COMPRADORES!$A:$D,2,FALSE),3)&amp;"***"&amp;IF(TRIM(MID(VLOOKUP($A780,COMPRADORES!$A:$D,2,FALSE)&amp;" ",FIND(" ",VLOOKUP($A780,COMPRADORES!$A:$D,2,FALSE)&amp;" ")+1,99))="",""," "&amp;LEFT(TRIM(MID(VLOOKUP($A780,COMPRADORES!$A:$D,2,FALSE)&amp;" ",FIND(" ",VLOOKUP($A780,COMPRADORES!$A:$D,2,FALSE)&amp;" ")+1,99)),1)&amp;".")),""))</f>
        <v/>
      </c>
      <c r="F780" s="16">
        <f>IF($B780="PAGADO",MID("ABCDEFGHIJ",INT(VALUE($A780)/100)+1,1)&amp;"-"&amp;$A780,"")</f>
        <v/>
      </c>
      <c r="G780" s="16">
        <f>IF($B780="PAGADO","PAGADO",IF($B780="APARTADO",IF(NOT(ISNUMBER($C780)),"APARTADO",IF($C780&lt;1,"APARTADO",IF(NOW()-$C780&gt;1,"LIBRE","APARTADO"))),"LIBRE"))</f>
        <v/>
      </c>
      <c r="H780" s="15">
        <f>IF($G780&lt;&gt;"APARTADO","",IF(NOT(ISNUMBER($C780)),"FALTA LA HORA",IF($C780&lt;1,"FALTA LA FECHA",TEXT($C780+1,"dd/mm hh:mm"))))</f>
        <v/>
      </c>
    </row>
    <row r="781">
      <c r="A781" s="13" t="inlineStr">
        <is>
          <t>779</t>
        </is>
      </c>
      <c r="B781" t="inlineStr">
        <is>
          <t>LIBRE</t>
        </is>
      </c>
      <c r="C781" s="14" t="n"/>
      <c r="E781" s="15">
        <f>IF($G781&lt;&gt;"PAGADO","",IFERROR(IF(VLOOKUP($A781,COMPRADORES!$A:$D,4,FALSE)="NO","Reservado",LEFT(VLOOKUP($A781,COMPRADORES!$A:$D,2,FALSE),3)&amp;"***"&amp;IF(TRIM(MID(VLOOKUP($A781,COMPRADORES!$A:$D,2,FALSE)&amp;" ",FIND(" ",VLOOKUP($A781,COMPRADORES!$A:$D,2,FALSE)&amp;" ")+1,99))="",""," "&amp;LEFT(TRIM(MID(VLOOKUP($A781,COMPRADORES!$A:$D,2,FALSE)&amp;" ",FIND(" ",VLOOKUP($A781,COMPRADORES!$A:$D,2,FALSE)&amp;" ")+1,99)),1)&amp;".")),""))</f>
        <v/>
      </c>
      <c r="F781" s="16">
        <f>IF($B781="PAGADO",MID("ABCDEFGHIJ",INT(VALUE($A781)/100)+1,1)&amp;"-"&amp;$A781,"")</f>
        <v/>
      </c>
      <c r="G781" s="16">
        <f>IF($B781="PAGADO","PAGADO",IF($B781="APARTADO",IF(NOT(ISNUMBER($C781)),"APARTADO",IF($C781&lt;1,"APARTADO",IF(NOW()-$C781&gt;1,"LIBRE","APARTADO"))),"LIBRE"))</f>
        <v/>
      </c>
      <c r="H781" s="15">
        <f>IF($G781&lt;&gt;"APARTADO","",IF(NOT(ISNUMBER($C781)),"FALTA LA HORA",IF($C781&lt;1,"FALTA LA FECHA",TEXT($C781+1,"dd/mm hh:mm"))))</f>
        <v/>
      </c>
    </row>
    <row r="782">
      <c r="A782" s="13" t="inlineStr">
        <is>
          <t>780</t>
        </is>
      </c>
      <c r="B782" t="inlineStr">
        <is>
          <t>LIBRE</t>
        </is>
      </c>
      <c r="C782" s="14" t="n"/>
      <c r="E782" s="15">
        <f>IF($G782&lt;&gt;"PAGADO","",IFERROR(IF(VLOOKUP($A782,COMPRADORES!$A:$D,4,FALSE)="NO","Reservado",LEFT(VLOOKUP($A782,COMPRADORES!$A:$D,2,FALSE),3)&amp;"***"&amp;IF(TRIM(MID(VLOOKUP($A782,COMPRADORES!$A:$D,2,FALSE)&amp;" ",FIND(" ",VLOOKUP($A782,COMPRADORES!$A:$D,2,FALSE)&amp;" ")+1,99))="",""," "&amp;LEFT(TRIM(MID(VLOOKUP($A782,COMPRADORES!$A:$D,2,FALSE)&amp;" ",FIND(" ",VLOOKUP($A782,COMPRADORES!$A:$D,2,FALSE)&amp;" ")+1,99)),1)&amp;".")),""))</f>
        <v/>
      </c>
      <c r="F782" s="16">
        <f>IF($B782="PAGADO",MID("ABCDEFGHIJ",INT(VALUE($A782)/100)+1,1)&amp;"-"&amp;$A782,"")</f>
        <v/>
      </c>
      <c r="G782" s="16">
        <f>IF($B782="PAGADO","PAGADO",IF($B782="APARTADO",IF(NOT(ISNUMBER($C782)),"APARTADO",IF($C782&lt;1,"APARTADO",IF(NOW()-$C782&gt;1,"LIBRE","APARTADO"))),"LIBRE"))</f>
        <v/>
      </c>
      <c r="H782" s="15">
        <f>IF($G782&lt;&gt;"APARTADO","",IF(NOT(ISNUMBER($C782)),"FALTA LA HORA",IF($C782&lt;1,"FALTA LA FECHA",TEXT($C782+1,"dd/mm hh:mm"))))</f>
        <v/>
      </c>
    </row>
    <row r="783">
      <c r="A783" s="13" t="inlineStr">
        <is>
          <t>781</t>
        </is>
      </c>
      <c r="B783" t="inlineStr">
        <is>
          <t>LIBRE</t>
        </is>
      </c>
      <c r="C783" s="14" t="n"/>
      <c r="E783" s="15">
        <f>IF($G783&lt;&gt;"PAGADO","",IFERROR(IF(VLOOKUP($A783,COMPRADORES!$A:$D,4,FALSE)="NO","Reservado",LEFT(VLOOKUP($A783,COMPRADORES!$A:$D,2,FALSE),3)&amp;"***"&amp;IF(TRIM(MID(VLOOKUP($A783,COMPRADORES!$A:$D,2,FALSE)&amp;" ",FIND(" ",VLOOKUP($A783,COMPRADORES!$A:$D,2,FALSE)&amp;" ")+1,99))="",""," "&amp;LEFT(TRIM(MID(VLOOKUP($A783,COMPRADORES!$A:$D,2,FALSE)&amp;" ",FIND(" ",VLOOKUP($A783,COMPRADORES!$A:$D,2,FALSE)&amp;" ")+1,99)),1)&amp;".")),""))</f>
        <v/>
      </c>
      <c r="F783" s="16">
        <f>IF($B783="PAGADO",MID("ABCDEFGHIJ",INT(VALUE($A783)/100)+1,1)&amp;"-"&amp;$A783,"")</f>
        <v/>
      </c>
      <c r="G783" s="16">
        <f>IF($B783="PAGADO","PAGADO",IF($B783="APARTADO",IF(NOT(ISNUMBER($C783)),"APARTADO",IF($C783&lt;1,"APARTADO",IF(NOW()-$C783&gt;1,"LIBRE","APARTADO"))),"LIBRE"))</f>
        <v/>
      </c>
      <c r="H783" s="15">
        <f>IF($G783&lt;&gt;"APARTADO","",IF(NOT(ISNUMBER($C783)),"FALTA LA HORA",IF($C783&lt;1,"FALTA LA FECHA",TEXT($C783+1,"dd/mm hh:mm"))))</f>
        <v/>
      </c>
    </row>
    <row r="784">
      <c r="A784" s="13" t="inlineStr">
        <is>
          <t>782</t>
        </is>
      </c>
      <c r="B784" t="inlineStr">
        <is>
          <t>LIBRE</t>
        </is>
      </c>
      <c r="C784" s="14" t="n"/>
      <c r="E784" s="15">
        <f>IF($G784&lt;&gt;"PAGADO","",IFERROR(IF(VLOOKUP($A784,COMPRADORES!$A:$D,4,FALSE)="NO","Reservado",LEFT(VLOOKUP($A784,COMPRADORES!$A:$D,2,FALSE),3)&amp;"***"&amp;IF(TRIM(MID(VLOOKUP($A784,COMPRADORES!$A:$D,2,FALSE)&amp;" ",FIND(" ",VLOOKUP($A784,COMPRADORES!$A:$D,2,FALSE)&amp;" ")+1,99))="",""," "&amp;LEFT(TRIM(MID(VLOOKUP($A784,COMPRADORES!$A:$D,2,FALSE)&amp;" ",FIND(" ",VLOOKUP($A784,COMPRADORES!$A:$D,2,FALSE)&amp;" ")+1,99)),1)&amp;".")),""))</f>
        <v/>
      </c>
      <c r="F784" s="16">
        <f>IF($B784="PAGADO",MID("ABCDEFGHIJ",INT(VALUE($A784)/100)+1,1)&amp;"-"&amp;$A784,"")</f>
        <v/>
      </c>
      <c r="G784" s="16">
        <f>IF($B784="PAGADO","PAGADO",IF($B784="APARTADO",IF(NOT(ISNUMBER($C784)),"APARTADO",IF($C784&lt;1,"APARTADO",IF(NOW()-$C784&gt;1,"LIBRE","APARTADO"))),"LIBRE"))</f>
        <v/>
      </c>
      <c r="H784" s="15">
        <f>IF($G784&lt;&gt;"APARTADO","",IF(NOT(ISNUMBER($C784)),"FALTA LA HORA",IF($C784&lt;1,"FALTA LA FECHA",TEXT($C784+1,"dd/mm hh:mm"))))</f>
        <v/>
      </c>
    </row>
    <row r="785">
      <c r="A785" s="13" t="inlineStr">
        <is>
          <t>783</t>
        </is>
      </c>
      <c r="B785" t="inlineStr">
        <is>
          <t>LIBRE</t>
        </is>
      </c>
      <c r="C785" s="14" t="n"/>
      <c r="E785" s="15">
        <f>IF($G785&lt;&gt;"PAGADO","",IFERROR(IF(VLOOKUP($A785,COMPRADORES!$A:$D,4,FALSE)="NO","Reservado",LEFT(VLOOKUP($A785,COMPRADORES!$A:$D,2,FALSE),3)&amp;"***"&amp;IF(TRIM(MID(VLOOKUP($A785,COMPRADORES!$A:$D,2,FALSE)&amp;" ",FIND(" ",VLOOKUP($A785,COMPRADORES!$A:$D,2,FALSE)&amp;" ")+1,99))="",""," "&amp;LEFT(TRIM(MID(VLOOKUP($A785,COMPRADORES!$A:$D,2,FALSE)&amp;" ",FIND(" ",VLOOKUP($A785,COMPRADORES!$A:$D,2,FALSE)&amp;" ")+1,99)),1)&amp;".")),""))</f>
        <v/>
      </c>
      <c r="F785" s="16">
        <f>IF($B785="PAGADO",MID("ABCDEFGHIJ",INT(VALUE($A785)/100)+1,1)&amp;"-"&amp;$A785,"")</f>
        <v/>
      </c>
      <c r="G785" s="16">
        <f>IF($B785="PAGADO","PAGADO",IF($B785="APARTADO",IF(NOT(ISNUMBER($C785)),"APARTADO",IF($C785&lt;1,"APARTADO",IF(NOW()-$C785&gt;1,"LIBRE","APARTADO"))),"LIBRE"))</f>
        <v/>
      </c>
      <c r="H785" s="15">
        <f>IF($G785&lt;&gt;"APARTADO","",IF(NOT(ISNUMBER($C785)),"FALTA LA HORA",IF($C785&lt;1,"FALTA LA FECHA",TEXT($C785+1,"dd/mm hh:mm"))))</f>
        <v/>
      </c>
    </row>
    <row r="786">
      <c r="A786" s="13" t="inlineStr">
        <is>
          <t>784</t>
        </is>
      </c>
      <c r="B786" t="inlineStr">
        <is>
          <t>LIBRE</t>
        </is>
      </c>
      <c r="C786" s="14" t="n"/>
      <c r="E786" s="15">
        <f>IF($G786&lt;&gt;"PAGADO","",IFERROR(IF(VLOOKUP($A786,COMPRADORES!$A:$D,4,FALSE)="NO","Reservado",LEFT(VLOOKUP($A786,COMPRADORES!$A:$D,2,FALSE),3)&amp;"***"&amp;IF(TRIM(MID(VLOOKUP($A786,COMPRADORES!$A:$D,2,FALSE)&amp;" ",FIND(" ",VLOOKUP($A786,COMPRADORES!$A:$D,2,FALSE)&amp;" ")+1,99))="",""," "&amp;LEFT(TRIM(MID(VLOOKUP($A786,COMPRADORES!$A:$D,2,FALSE)&amp;" ",FIND(" ",VLOOKUP($A786,COMPRADORES!$A:$D,2,FALSE)&amp;" ")+1,99)),1)&amp;".")),""))</f>
        <v/>
      </c>
      <c r="F786" s="16">
        <f>IF($B786="PAGADO",MID("ABCDEFGHIJ",INT(VALUE($A786)/100)+1,1)&amp;"-"&amp;$A786,"")</f>
        <v/>
      </c>
      <c r="G786" s="16">
        <f>IF($B786="PAGADO","PAGADO",IF($B786="APARTADO",IF(NOT(ISNUMBER($C786)),"APARTADO",IF($C786&lt;1,"APARTADO",IF(NOW()-$C786&gt;1,"LIBRE","APARTADO"))),"LIBRE"))</f>
        <v/>
      </c>
      <c r="H786" s="15">
        <f>IF($G786&lt;&gt;"APARTADO","",IF(NOT(ISNUMBER($C786)),"FALTA LA HORA",IF($C786&lt;1,"FALTA LA FECHA",TEXT($C786+1,"dd/mm hh:mm"))))</f>
        <v/>
      </c>
    </row>
    <row r="787">
      <c r="A787" s="13" t="inlineStr">
        <is>
          <t>785</t>
        </is>
      </c>
      <c r="B787" t="inlineStr">
        <is>
          <t>LIBRE</t>
        </is>
      </c>
      <c r="C787" s="14" t="n"/>
      <c r="E787" s="15">
        <f>IF($G787&lt;&gt;"PAGADO","",IFERROR(IF(VLOOKUP($A787,COMPRADORES!$A:$D,4,FALSE)="NO","Reservado",LEFT(VLOOKUP($A787,COMPRADORES!$A:$D,2,FALSE),3)&amp;"***"&amp;IF(TRIM(MID(VLOOKUP($A787,COMPRADORES!$A:$D,2,FALSE)&amp;" ",FIND(" ",VLOOKUP($A787,COMPRADORES!$A:$D,2,FALSE)&amp;" ")+1,99))="",""," "&amp;LEFT(TRIM(MID(VLOOKUP($A787,COMPRADORES!$A:$D,2,FALSE)&amp;" ",FIND(" ",VLOOKUP($A787,COMPRADORES!$A:$D,2,FALSE)&amp;" ")+1,99)),1)&amp;".")),""))</f>
        <v/>
      </c>
      <c r="F787" s="16">
        <f>IF($B787="PAGADO",MID("ABCDEFGHIJ",INT(VALUE($A787)/100)+1,1)&amp;"-"&amp;$A787,"")</f>
        <v/>
      </c>
      <c r="G787" s="16">
        <f>IF($B787="PAGADO","PAGADO",IF($B787="APARTADO",IF(NOT(ISNUMBER($C787)),"APARTADO",IF($C787&lt;1,"APARTADO",IF(NOW()-$C787&gt;1,"LIBRE","APARTADO"))),"LIBRE"))</f>
        <v/>
      </c>
      <c r="H787" s="15">
        <f>IF($G787&lt;&gt;"APARTADO","",IF(NOT(ISNUMBER($C787)),"FALTA LA HORA",IF($C787&lt;1,"FALTA LA FECHA",TEXT($C787+1,"dd/mm hh:mm"))))</f>
        <v/>
      </c>
    </row>
    <row r="788">
      <c r="A788" s="13" t="inlineStr">
        <is>
          <t>786</t>
        </is>
      </c>
      <c r="B788" t="inlineStr">
        <is>
          <t>LIBRE</t>
        </is>
      </c>
      <c r="C788" s="14" t="n"/>
      <c r="E788" s="15">
        <f>IF($G788&lt;&gt;"PAGADO","",IFERROR(IF(VLOOKUP($A788,COMPRADORES!$A:$D,4,FALSE)="NO","Reservado",LEFT(VLOOKUP($A788,COMPRADORES!$A:$D,2,FALSE),3)&amp;"***"&amp;IF(TRIM(MID(VLOOKUP($A788,COMPRADORES!$A:$D,2,FALSE)&amp;" ",FIND(" ",VLOOKUP($A788,COMPRADORES!$A:$D,2,FALSE)&amp;" ")+1,99))="",""," "&amp;LEFT(TRIM(MID(VLOOKUP($A788,COMPRADORES!$A:$D,2,FALSE)&amp;" ",FIND(" ",VLOOKUP($A788,COMPRADORES!$A:$D,2,FALSE)&amp;" ")+1,99)),1)&amp;".")),""))</f>
        <v/>
      </c>
      <c r="F788" s="16">
        <f>IF($B788="PAGADO",MID("ABCDEFGHIJ",INT(VALUE($A788)/100)+1,1)&amp;"-"&amp;$A788,"")</f>
        <v/>
      </c>
      <c r="G788" s="16">
        <f>IF($B788="PAGADO","PAGADO",IF($B788="APARTADO",IF(NOT(ISNUMBER($C788)),"APARTADO",IF($C788&lt;1,"APARTADO",IF(NOW()-$C788&gt;1,"LIBRE","APARTADO"))),"LIBRE"))</f>
        <v/>
      </c>
      <c r="H788" s="15">
        <f>IF($G788&lt;&gt;"APARTADO","",IF(NOT(ISNUMBER($C788)),"FALTA LA HORA",IF($C788&lt;1,"FALTA LA FECHA",TEXT($C788+1,"dd/mm hh:mm"))))</f>
        <v/>
      </c>
    </row>
    <row r="789">
      <c r="A789" s="13" t="inlineStr">
        <is>
          <t>787</t>
        </is>
      </c>
      <c r="B789" t="inlineStr">
        <is>
          <t>LIBRE</t>
        </is>
      </c>
      <c r="C789" s="14" t="n"/>
      <c r="E789" s="15">
        <f>IF($G789&lt;&gt;"PAGADO","",IFERROR(IF(VLOOKUP($A789,COMPRADORES!$A:$D,4,FALSE)="NO","Reservado",LEFT(VLOOKUP($A789,COMPRADORES!$A:$D,2,FALSE),3)&amp;"***"&amp;IF(TRIM(MID(VLOOKUP($A789,COMPRADORES!$A:$D,2,FALSE)&amp;" ",FIND(" ",VLOOKUP($A789,COMPRADORES!$A:$D,2,FALSE)&amp;" ")+1,99))="",""," "&amp;LEFT(TRIM(MID(VLOOKUP($A789,COMPRADORES!$A:$D,2,FALSE)&amp;" ",FIND(" ",VLOOKUP($A789,COMPRADORES!$A:$D,2,FALSE)&amp;" ")+1,99)),1)&amp;".")),""))</f>
        <v/>
      </c>
      <c r="F789" s="16">
        <f>IF($B789="PAGADO",MID("ABCDEFGHIJ",INT(VALUE($A789)/100)+1,1)&amp;"-"&amp;$A789,"")</f>
        <v/>
      </c>
      <c r="G789" s="16">
        <f>IF($B789="PAGADO","PAGADO",IF($B789="APARTADO",IF(NOT(ISNUMBER($C789)),"APARTADO",IF($C789&lt;1,"APARTADO",IF(NOW()-$C789&gt;1,"LIBRE","APARTADO"))),"LIBRE"))</f>
        <v/>
      </c>
      <c r="H789" s="15">
        <f>IF($G789&lt;&gt;"APARTADO","",IF(NOT(ISNUMBER($C789)),"FALTA LA HORA",IF($C789&lt;1,"FALTA LA FECHA",TEXT($C789+1,"dd/mm hh:mm"))))</f>
        <v/>
      </c>
    </row>
    <row r="790">
      <c r="A790" s="13" t="inlineStr">
        <is>
          <t>788</t>
        </is>
      </c>
      <c r="B790" t="inlineStr">
        <is>
          <t>LIBRE</t>
        </is>
      </c>
      <c r="C790" s="14" t="n"/>
      <c r="E790" s="15">
        <f>IF($G790&lt;&gt;"PAGADO","",IFERROR(IF(VLOOKUP($A790,COMPRADORES!$A:$D,4,FALSE)="NO","Reservado",LEFT(VLOOKUP($A790,COMPRADORES!$A:$D,2,FALSE),3)&amp;"***"&amp;IF(TRIM(MID(VLOOKUP($A790,COMPRADORES!$A:$D,2,FALSE)&amp;" ",FIND(" ",VLOOKUP($A790,COMPRADORES!$A:$D,2,FALSE)&amp;" ")+1,99))="",""," "&amp;LEFT(TRIM(MID(VLOOKUP($A790,COMPRADORES!$A:$D,2,FALSE)&amp;" ",FIND(" ",VLOOKUP($A790,COMPRADORES!$A:$D,2,FALSE)&amp;" ")+1,99)),1)&amp;".")),""))</f>
        <v/>
      </c>
      <c r="F790" s="16">
        <f>IF($B790="PAGADO",MID("ABCDEFGHIJ",INT(VALUE($A790)/100)+1,1)&amp;"-"&amp;$A790,"")</f>
        <v/>
      </c>
      <c r="G790" s="16">
        <f>IF($B790="PAGADO","PAGADO",IF($B790="APARTADO",IF(NOT(ISNUMBER($C790)),"APARTADO",IF($C790&lt;1,"APARTADO",IF(NOW()-$C790&gt;1,"LIBRE","APARTADO"))),"LIBRE"))</f>
        <v/>
      </c>
      <c r="H790" s="15">
        <f>IF($G790&lt;&gt;"APARTADO","",IF(NOT(ISNUMBER($C790)),"FALTA LA HORA",IF($C790&lt;1,"FALTA LA FECHA",TEXT($C790+1,"dd/mm hh:mm"))))</f>
        <v/>
      </c>
    </row>
    <row r="791">
      <c r="A791" s="13" t="inlineStr">
        <is>
          <t>789</t>
        </is>
      </c>
      <c r="B791" t="inlineStr">
        <is>
          <t>LIBRE</t>
        </is>
      </c>
      <c r="C791" s="14" t="n"/>
      <c r="E791" s="15">
        <f>IF($G791&lt;&gt;"PAGADO","",IFERROR(IF(VLOOKUP($A791,COMPRADORES!$A:$D,4,FALSE)="NO","Reservado",LEFT(VLOOKUP($A791,COMPRADORES!$A:$D,2,FALSE),3)&amp;"***"&amp;IF(TRIM(MID(VLOOKUP($A791,COMPRADORES!$A:$D,2,FALSE)&amp;" ",FIND(" ",VLOOKUP($A791,COMPRADORES!$A:$D,2,FALSE)&amp;" ")+1,99))="",""," "&amp;LEFT(TRIM(MID(VLOOKUP($A791,COMPRADORES!$A:$D,2,FALSE)&amp;" ",FIND(" ",VLOOKUP($A791,COMPRADORES!$A:$D,2,FALSE)&amp;" ")+1,99)),1)&amp;".")),""))</f>
        <v/>
      </c>
      <c r="F791" s="16">
        <f>IF($B791="PAGADO",MID("ABCDEFGHIJ",INT(VALUE($A791)/100)+1,1)&amp;"-"&amp;$A791,"")</f>
        <v/>
      </c>
      <c r="G791" s="16">
        <f>IF($B791="PAGADO","PAGADO",IF($B791="APARTADO",IF(NOT(ISNUMBER($C791)),"APARTADO",IF($C791&lt;1,"APARTADO",IF(NOW()-$C791&gt;1,"LIBRE","APARTADO"))),"LIBRE"))</f>
        <v/>
      </c>
      <c r="H791" s="15">
        <f>IF($G791&lt;&gt;"APARTADO","",IF(NOT(ISNUMBER($C791)),"FALTA LA HORA",IF($C791&lt;1,"FALTA LA FECHA",TEXT($C791+1,"dd/mm hh:mm"))))</f>
        <v/>
      </c>
    </row>
    <row r="792">
      <c r="A792" s="13" t="inlineStr">
        <is>
          <t>790</t>
        </is>
      </c>
      <c r="B792" t="inlineStr">
        <is>
          <t>LIBRE</t>
        </is>
      </c>
      <c r="C792" s="14" t="n"/>
      <c r="E792" s="15">
        <f>IF($G792&lt;&gt;"PAGADO","",IFERROR(IF(VLOOKUP($A792,COMPRADORES!$A:$D,4,FALSE)="NO","Reservado",LEFT(VLOOKUP($A792,COMPRADORES!$A:$D,2,FALSE),3)&amp;"***"&amp;IF(TRIM(MID(VLOOKUP($A792,COMPRADORES!$A:$D,2,FALSE)&amp;" ",FIND(" ",VLOOKUP($A792,COMPRADORES!$A:$D,2,FALSE)&amp;" ")+1,99))="",""," "&amp;LEFT(TRIM(MID(VLOOKUP($A792,COMPRADORES!$A:$D,2,FALSE)&amp;" ",FIND(" ",VLOOKUP($A792,COMPRADORES!$A:$D,2,FALSE)&amp;" ")+1,99)),1)&amp;".")),""))</f>
        <v/>
      </c>
      <c r="F792" s="16">
        <f>IF($B792="PAGADO",MID("ABCDEFGHIJ",INT(VALUE($A792)/100)+1,1)&amp;"-"&amp;$A792,"")</f>
        <v/>
      </c>
      <c r="G792" s="16">
        <f>IF($B792="PAGADO","PAGADO",IF($B792="APARTADO",IF(NOT(ISNUMBER($C792)),"APARTADO",IF($C792&lt;1,"APARTADO",IF(NOW()-$C792&gt;1,"LIBRE","APARTADO"))),"LIBRE"))</f>
        <v/>
      </c>
      <c r="H792" s="15">
        <f>IF($G792&lt;&gt;"APARTADO","",IF(NOT(ISNUMBER($C792)),"FALTA LA HORA",IF($C792&lt;1,"FALTA LA FECHA",TEXT($C792+1,"dd/mm hh:mm"))))</f>
        <v/>
      </c>
    </row>
    <row r="793">
      <c r="A793" s="13" t="inlineStr">
        <is>
          <t>791</t>
        </is>
      </c>
      <c r="B793" t="inlineStr">
        <is>
          <t>LIBRE</t>
        </is>
      </c>
      <c r="C793" s="14" t="n"/>
      <c r="E793" s="15">
        <f>IF($G793&lt;&gt;"PAGADO","",IFERROR(IF(VLOOKUP($A793,COMPRADORES!$A:$D,4,FALSE)="NO","Reservado",LEFT(VLOOKUP($A793,COMPRADORES!$A:$D,2,FALSE),3)&amp;"***"&amp;IF(TRIM(MID(VLOOKUP($A793,COMPRADORES!$A:$D,2,FALSE)&amp;" ",FIND(" ",VLOOKUP($A793,COMPRADORES!$A:$D,2,FALSE)&amp;" ")+1,99))="",""," "&amp;LEFT(TRIM(MID(VLOOKUP($A793,COMPRADORES!$A:$D,2,FALSE)&amp;" ",FIND(" ",VLOOKUP($A793,COMPRADORES!$A:$D,2,FALSE)&amp;" ")+1,99)),1)&amp;".")),""))</f>
        <v/>
      </c>
      <c r="F793" s="16">
        <f>IF($B793="PAGADO",MID("ABCDEFGHIJ",INT(VALUE($A793)/100)+1,1)&amp;"-"&amp;$A793,"")</f>
        <v/>
      </c>
      <c r="G793" s="16">
        <f>IF($B793="PAGADO","PAGADO",IF($B793="APARTADO",IF(NOT(ISNUMBER($C793)),"APARTADO",IF($C793&lt;1,"APARTADO",IF(NOW()-$C793&gt;1,"LIBRE","APARTADO"))),"LIBRE"))</f>
        <v/>
      </c>
      <c r="H793" s="15">
        <f>IF($G793&lt;&gt;"APARTADO","",IF(NOT(ISNUMBER($C793)),"FALTA LA HORA",IF($C793&lt;1,"FALTA LA FECHA",TEXT($C793+1,"dd/mm hh:mm"))))</f>
        <v/>
      </c>
    </row>
    <row r="794">
      <c r="A794" s="13" t="inlineStr">
        <is>
          <t>792</t>
        </is>
      </c>
      <c r="B794" t="inlineStr">
        <is>
          <t>LIBRE</t>
        </is>
      </c>
      <c r="C794" s="14" t="n"/>
      <c r="E794" s="15">
        <f>IF($G794&lt;&gt;"PAGADO","",IFERROR(IF(VLOOKUP($A794,COMPRADORES!$A:$D,4,FALSE)="NO","Reservado",LEFT(VLOOKUP($A794,COMPRADORES!$A:$D,2,FALSE),3)&amp;"***"&amp;IF(TRIM(MID(VLOOKUP($A794,COMPRADORES!$A:$D,2,FALSE)&amp;" ",FIND(" ",VLOOKUP($A794,COMPRADORES!$A:$D,2,FALSE)&amp;" ")+1,99))="",""," "&amp;LEFT(TRIM(MID(VLOOKUP($A794,COMPRADORES!$A:$D,2,FALSE)&amp;" ",FIND(" ",VLOOKUP($A794,COMPRADORES!$A:$D,2,FALSE)&amp;" ")+1,99)),1)&amp;".")),""))</f>
        <v/>
      </c>
      <c r="F794" s="16">
        <f>IF($B794="PAGADO",MID("ABCDEFGHIJ",INT(VALUE($A794)/100)+1,1)&amp;"-"&amp;$A794,"")</f>
        <v/>
      </c>
      <c r="G794" s="16">
        <f>IF($B794="PAGADO","PAGADO",IF($B794="APARTADO",IF(NOT(ISNUMBER($C794)),"APARTADO",IF($C794&lt;1,"APARTADO",IF(NOW()-$C794&gt;1,"LIBRE","APARTADO"))),"LIBRE"))</f>
        <v/>
      </c>
      <c r="H794" s="15">
        <f>IF($G794&lt;&gt;"APARTADO","",IF(NOT(ISNUMBER($C794)),"FALTA LA HORA",IF($C794&lt;1,"FALTA LA FECHA",TEXT($C794+1,"dd/mm hh:mm"))))</f>
        <v/>
      </c>
    </row>
    <row r="795">
      <c r="A795" s="13" t="inlineStr">
        <is>
          <t>793</t>
        </is>
      </c>
      <c r="B795" t="inlineStr">
        <is>
          <t>LIBRE</t>
        </is>
      </c>
      <c r="C795" s="14" t="n"/>
      <c r="E795" s="15">
        <f>IF($G795&lt;&gt;"PAGADO","",IFERROR(IF(VLOOKUP($A795,COMPRADORES!$A:$D,4,FALSE)="NO","Reservado",LEFT(VLOOKUP($A795,COMPRADORES!$A:$D,2,FALSE),3)&amp;"***"&amp;IF(TRIM(MID(VLOOKUP($A795,COMPRADORES!$A:$D,2,FALSE)&amp;" ",FIND(" ",VLOOKUP($A795,COMPRADORES!$A:$D,2,FALSE)&amp;" ")+1,99))="",""," "&amp;LEFT(TRIM(MID(VLOOKUP($A795,COMPRADORES!$A:$D,2,FALSE)&amp;" ",FIND(" ",VLOOKUP($A795,COMPRADORES!$A:$D,2,FALSE)&amp;" ")+1,99)),1)&amp;".")),""))</f>
        <v/>
      </c>
      <c r="F795" s="16">
        <f>IF($B795="PAGADO",MID("ABCDEFGHIJ",INT(VALUE($A795)/100)+1,1)&amp;"-"&amp;$A795,"")</f>
        <v/>
      </c>
      <c r="G795" s="16">
        <f>IF($B795="PAGADO","PAGADO",IF($B795="APARTADO",IF(NOT(ISNUMBER($C795)),"APARTADO",IF($C795&lt;1,"APARTADO",IF(NOW()-$C795&gt;1,"LIBRE","APARTADO"))),"LIBRE"))</f>
        <v/>
      </c>
      <c r="H795" s="15">
        <f>IF($G795&lt;&gt;"APARTADO","",IF(NOT(ISNUMBER($C795)),"FALTA LA HORA",IF($C795&lt;1,"FALTA LA FECHA",TEXT($C795+1,"dd/mm hh:mm"))))</f>
        <v/>
      </c>
    </row>
    <row r="796">
      <c r="A796" s="13" t="inlineStr">
        <is>
          <t>794</t>
        </is>
      </c>
      <c r="B796" t="inlineStr">
        <is>
          <t>LIBRE</t>
        </is>
      </c>
      <c r="C796" s="14" t="n"/>
      <c r="E796" s="15">
        <f>IF($G796&lt;&gt;"PAGADO","",IFERROR(IF(VLOOKUP($A796,COMPRADORES!$A:$D,4,FALSE)="NO","Reservado",LEFT(VLOOKUP($A796,COMPRADORES!$A:$D,2,FALSE),3)&amp;"***"&amp;IF(TRIM(MID(VLOOKUP($A796,COMPRADORES!$A:$D,2,FALSE)&amp;" ",FIND(" ",VLOOKUP($A796,COMPRADORES!$A:$D,2,FALSE)&amp;" ")+1,99))="",""," "&amp;LEFT(TRIM(MID(VLOOKUP($A796,COMPRADORES!$A:$D,2,FALSE)&amp;" ",FIND(" ",VLOOKUP($A796,COMPRADORES!$A:$D,2,FALSE)&amp;" ")+1,99)),1)&amp;".")),""))</f>
        <v/>
      </c>
      <c r="F796" s="16">
        <f>IF($B796="PAGADO",MID("ABCDEFGHIJ",INT(VALUE($A796)/100)+1,1)&amp;"-"&amp;$A796,"")</f>
        <v/>
      </c>
      <c r="G796" s="16">
        <f>IF($B796="PAGADO","PAGADO",IF($B796="APARTADO",IF(NOT(ISNUMBER($C796)),"APARTADO",IF($C796&lt;1,"APARTADO",IF(NOW()-$C796&gt;1,"LIBRE","APARTADO"))),"LIBRE"))</f>
        <v/>
      </c>
      <c r="H796" s="15">
        <f>IF($G796&lt;&gt;"APARTADO","",IF(NOT(ISNUMBER($C796)),"FALTA LA HORA",IF($C796&lt;1,"FALTA LA FECHA",TEXT($C796+1,"dd/mm hh:mm"))))</f>
        <v/>
      </c>
    </row>
    <row r="797">
      <c r="A797" s="13" t="inlineStr">
        <is>
          <t>795</t>
        </is>
      </c>
      <c r="B797" t="inlineStr">
        <is>
          <t>LIBRE</t>
        </is>
      </c>
      <c r="C797" s="14" t="n"/>
      <c r="E797" s="15">
        <f>IF($G797&lt;&gt;"PAGADO","",IFERROR(IF(VLOOKUP($A797,COMPRADORES!$A:$D,4,FALSE)="NO","Reservado",LEFT(VLOOKUP($A797,COMPRADORES!$A:$D,2,FALSE),3)&amp;"***"&amp;IF(TRIM(MID(VLOOKUP($A797,COMPRADORES!$A:$D,2,FALSE)&amp;" ",FIND(" ",VLOOKUP($A797,COMPRADORES!$A:$D,2,FALSE)&amp;" ")+1,99))="",""," "&amp;LEFT(TRIM(MID(VLOOKUP($A797,COMPRADORES!$A:$D,2,FALSE)&amp;" ",FIND(" ",VLOOKUP($A797,COMPRADORES!$A:$D,2,FALSE)&amp;" ")+1,99)),1)&amp;".")),""))</f>
        <v/>
      </c>
      <c r="F797" s="16">
        <f>IF($B797="PAGADO",MID("ABCDEFGHIJ",INT(VALUE($A797)/100)+1,1)&amp;"-"&amp;$A797,"")</f>
        <v/>
      </c>
      <c r="G797" s="16">
        <f>IF($B797="PAGADO","PAGADO",IF($B797="APARTADO",IF(NOT(ISNUMBER($C797)),"APARTADO",IF($C797&lt;1,"APARTADO",IF(NOW()-$C797&gt;1,"LIBRE","APARTADO"))),"LIBRE"))</f>
        <v/>
      </c>
      <c r="H797" s="15">
        <f>IF($G797&lt;&gt;"APARTADO","",IF(NOT(ISNUMBER($C797)),"FALTA LA HORA",IF($C797&lt;1,"FALTA LA FECHA",TEXT($C797+1,"dd/mm hh:mm"))))</f>
        <v/>
      </c>
    </row>
    <row r="798">
      <c r="A798" s="13" t="inlineStr">
        <is>
          <t>796</t>
        </is>
      </c>
      <c r="B798" t="inlineStr">
        <is>
          <t>LIBRE</t>
        </is>
      </c>
      <c r="C798" s="14" t="n"/>
      <c r="E798" s="15">
        <f>IF($G798&lt;&gt;"PAGADO","",IFERROR(IF(VLOOKUP($A798,COMPRADORES!$A:$D,4,FALSE)="NO","Reservado",LEFT(VLOOKUP($A798,COMPRADORES!$A:$D,2,FALSE),3)&amp;"***"&amp;IF(TRIM(MID(VLOOKUP($A798,COMPRADORES!$A:$D,2,FALSE)&amp;" ",FIND(" ",VLOOKUP($A798,COMPRADORES!$A:$D,2,FALSE)&amp;" ")+1,99))="",""," "&amp;LEFT(TRIM(MID(VLOOKUP($A798,COMPRADORES!$A:$D,2,FALSE)&amp;" ",FIND(" ",VLOOKUP($A798,COMPRADORES!$A:$D,2,FALSE)&amp;" ")+1,99)),1)&amp;".")),""))</f>
        <v/>
      </c>
      <c r="F798" s="16">
        <f>IF($B798="PAGADO",MID("ABCDEFGHIJ",INT(VALUE($A798)/100)+1,1)&amp;"-"&amp;$A798,"")</f>
        <v/>
      </c>
      <c r="G798" s="16">
        <f>IF($B798="PAGADO","PAGADO",IF($B798="APARTADO",IF(NOT(ISNUMBER($C798)),"APARTADO",IF($C798&lt;1,"APARTADO",IF(NOW()-$C798&gt;1,"LIBRE","APARTADO"))),"LIBRE"))</f>
        <v/>
      </c>
      <c r="H798" s="15">
        <f>IF($G798&lt;&gt;"APARTADO","",IF(NOT(ISNUMBER($C798)),"FALTA LA HORA",IF($C798&lt;1,"FALTA LA FECHA",TEXT($C798+1,"dd/mm hh:mm"))))</f>
        <v/>
      </c>
    </row>
    <row r="799">
      <c r="A799" s="13" t="inlineStr">
        <is>
          <t>797</t>
        </is>
      </c>
      <c r="B799" t="inlineStr">
        <is>
          <t>LIBRE</t>
        </is>
      </c>
      <c r="C799" s="14" t="n"/>
      <c r="E799" s="15">
        <f>IF($G799&lt;&gt;"PAGADO","",IFERROR(IF(VLOOKUP($A799,COMPRADORES!$A:$D,4,FALSE)="NO","Reservado",LEFT(VLOOKUP($A799,COMPRADORES!$A:$D,2,FALSE),3)&amp;"***"&amp;IF(TRIM(MID(VLOOKUP($A799,COMPRADORES!$A:$D,2,FALSE)&amp;" ",FIND(" ",VLOOKUP($A799,COMPRADORES!$A:$D,2,FALSE)&amp;" ")+1,99))="",""," "&amp;LEFT(TRIM(MID(VLOOKUP($A799,COMPRADORES!$A:$D,2,FALSE)&amp;" ",FIND(" ",VLOOKUP($A799,COMPRADORES!$A:$D,2,FALSE)&amp;" ")+1,99)),1)&amp;".")),""))</f>
        <v/>
      </c>
      <c r="F799" s="16">
        <f>IF($B799="PAGADO",MID("ABCDEFGHIJ",INT(VALUE($A799)/100)+1,1)&amp;"-"&amp;$A799,"")</f>
        <v/>
      </c>
      <c r="G799" s="16">
        <f>IF($B799="PAGADO","PAGADO",IF($B799="APARTADO",IF(NOT(ISNUMBER($C799)),"APARTADO",IF($C799&lt;1,"APARTADO",IF(NOW()-$C799&gt;1,"LIBRE","APARTADO"))),"LIBRE"))</f>
        <v/>
      </c>
      <c r="H799" s="15">
        <f>IF($G799&lt;&gt;"APARTADO","",IF(NOT(ISNUMBER($C799)),"FALTA LA HORA",IF($C799&lt;1,"FALTA LA FECHA",TEXT($C799+1,"dd/mm hh:mm"))))</f>
        <v/>
      </c>
    </row>
    <row r="800">
      <c r="A800" s="13" t="inlineStr">
        <is>
          <t>798</t>
        </is>
      </c>
      <c r="B800" t="inlineStr">
        <is>
          <t>LIBRE</t>
        </is>
      </c>
      <c r="C800" s="14" t="n"/>
      <c r="E800" s="15">
        <f>IF($G800&lt;&gt;"PAGADO","",IFERROR(IF(VLOOKUP($A800,COMPRADORES!$A:$D,4,FALSE)="NO","Reservado",LEFT(VLOOKUP($A800,COMPRADORES!$A:$D,2,FALSE),3)&amp;"***"&amp;IF(TRIM(MID(VLOOKUP($A800,COMPRADORES!$A:$D,2,FALSE)&amp;" ",FIND(" ",VLOOKUP($A800,COMPRADORES!$A:$D,2,FALSE)&amp;" ")+1,99))="",""," "&amp;LEFT(TRIM(MID(VLOOKUP($A800,COMPRADORES!$A:$D,2,FALSE)&amp;" ",FIND(" ",VLOOKUP($A800,COMPRADORES!$A:$D,2,FALSE)&amp;" ")+1,99)),1)&amp;".")),""))</f>
        <v/>
      </c>
      <c r="F800" s="16">
        <f>IF($B800="PAGADO",MID("ABCDEFGHIJ",INT(VALUE($A800)/100)+1,1)&amp;"-"&amp;$A800,"")</f>
        <v/>
      </c>
      <c r="G800" s="16">
        <f>IF($B800="PAGADO","PAGADO",IF($B800="APARTADO",IF(NOT(ISNUMBER($C800)),"APARTADO",IF($C800&lt;1,"APARTADO",IF(NOW()-$C800&gt;1,"LIBRE","APARTADO"))),"LIBRE"))</f>
        <v/>
      </c>
      <c r="H800" s="15">
        <f>IF($G800&lt;&gt;"APARTADO","",IF(NOT(ISNUMBER($C800)),"FALTA LA HORA",IF($C800&lt;1,"FALTA LA FECHA",TEXT($C800+1,"dd/mm hh:mm"))))</f>
        <v/>
      </c>
    </row>
    <row r="801">
      <c r="A801" s="13" t="inlineStr">
        <is>
          <t>799</t>
        </is>
      </c>
      <c r="B801" t="inlineStr">
        <is>
          <t>LIBRE</t>
        </is>
      </c>
      <c r="C801" s="14" t="n"/>
      <c r="E801" s="15">
        <f>IF($G801&lt;&gt;"PAGADO","",IFERROR(IF(VLOOKUP($A801,COMPRADORES!$A:$D,4,FALSE)="NO","Reservado",LEFT(VLOOKUP($A801,COMPRADORES!$A:$D,2,FALSE),3)&amp;"***"&amp;IF(TRIM(MID(VLOOKUP($A801,COMPRADORES!$A:$D,2,FALSE)&amp;" ",FIND(" ",VLOOKUP($A801,COMPRADORES!$A:$D,2,FALSE)&amp;" ")+1,99))="",""," "&amp;LEFT(TRIM(MID(VLOOKUP($A801,COMPRADORES!$A:$D,2,FALSE)&amp;" ",FIND(" ",VLOOKUP($A801,COMPRADORES!$A:$D,2,FALSE)&amp;" ")+1,99)),1)&amp;".")),""))</f>
        <v/>
      </c>
      <c r="F801" s="16">
        <f>IF($B801="PAGADO",MID("ABCDEFGHIJ",INT(VALUE($A801)/100)+1,1)&amp;"-"&amp;$A801,"")</f>
        <v/>
      </c>
      <c r="G801" s="16">
        <f>IF($B801="PAGADO","PAGADO",IF($B801="APARTADO",IF(NOT(ISNUMBER($C801)),"APARTADO",IF($C801&lt;1,"APARTADO",IF(NOW()-$C801&gt;1,"LIBRE","APARTADO"))),"LIBRE"))</f>
        <v/>
      </c>
      <c r="H801" s="15">
        <f>IF($G801&lt;&gt;"APARTADO","",IF(NOT(ISNUMBER($C801)),"FALTA LA HORA",IF($C801&lt;1,"FALTA LA FECHA",TEXT($C801+1,"dd/mm hh:mm"))))</f>
        <v/>
      </c>
    </row>
    <row r="802">
      <c r="A802" s="13" t="inlineStr">
        <is>
          <t>800</t>
        </is>
      </c>
      <c r="B802" t="inlineStr">
        <is>
          <t>LIBRE</t>
        </is>
      </c>
      <c r="C802" s="14" t="n"/>
      <c r="E802" s="15">
        <f>IF($G802&lt;&gt;"PAGADO","",IFERROR(IF(VLOOKUP($A802,COMPRADORES!$A:$D,4,FALSE)="NO","Reservado",LEFT(VLOOKUP($A802,COMPRADORES!$A:$D,2,FALSE),3)&amp;"***"&amp;IF(TRIM(MID(VLOOKUP($A802,COMPRADORES!$A:$D,2,FALSE)&amp;" ",FIND(" ",VLOOKUP($A802,COMPRADORES!$A:$D,2,FALSE)&amp;" ")+1,99))="",""," "&amp;LEFT(TRIM(MID(VLOOKUP($A802,COMPRADORES!$A:$D,2,FALSE)&amp;" ",FIND(" ",VLOOKUP($A802,COMPRADORES!$A:$D,2,FALSE)&amp;" ")+1,99)),1)&amp;".")),""))</f>
        <v/>
      </c>
      <c r="F802" s="16">
        <f>IF($B802="PAGADO",MID("ABCDEFGHIJ",INT(VALUE($A802)/100)+1,1)&amp;"-"&amp;$A802,"")</f>
        <v/>
      </c>
      <c r="G802" s="16">
        <f>IF($B802="PAGADO","PAGADO",IF($B802="APARTADO",IF(NOT(ISNUMBER($C802)),"APARTADO",IF($C802&lt;1,"APARTADO",IF(NOW()-$C802&gt;1,"LIBRE","APARTADO"))),"LIBRE"))</f>
        <v/>
      </c>
      <c r="H802" s="15">
        <f>IF($G802&lt;&gt;"APARTADO","",IF(NOT(ISNUMBER($C802)),"FALTA LA HORA",IF($C802&lt;1,"FALTA LA FECHA",TEXT($C802+1,"dd/mm hh:mm"))))</f>
        <v/>
      </c>
    </row>
    <row r="803">
      <c r="A803" s="13" t="inlineStr">
        <is>
          <t>801</t>
        </is>
      </c>
      <c r="B803" t="inlineStr">
        <is>
          <t>LIBRE</t>
        </is>
      </c>
      <c r="C803" s="14" t="n"/>
      <c r="E803" s="15">
        <f>IF($G803&lt;&gt;"PAGADO","",IFERROR(IF(VLOOKUP($A803,COMPRADORES!$A:$D,4,FALSE)="NO","Reservado",LEFT(VLOOKUP($A803,COMPRADORES!$A:$D,2,FALSE),3)&amp;"***"&amp;IF(TRIM(MID(VLOOKUP($A803,COMPRADORES!$A:$D,2,FALSE)&amp;" ",FIND(" ",VLOOKUP($A803,COMPRADORES!$A:$D,2,FALSE)&amp;" ")+1,99))="",""," "&amp;LEFT(TRIM(MID(VLOOKUP($A803,COMPRADORES!$A:$D,2,FALSE)&amp;" ",FIND(" ",VLOOKUP($A803,COMPRADORES!$A:$D,2,FALSE)&amp;" ")+1,99)),1)&amp;".")),""))</f>
        <v/>
      </c>
      <c r="F803" s="16">
        <f>IF($B803="PAGADO",MID("ABCDEFGHIJ",INT(VALUE($A803)/100)+1,1)&amp;"-"&amp;$A803,"")</f>
        <v/>
      </c>
      <c r="G803" s="16">
        <f>IF($B803="PAGADO","PAGADO",IF($B803="APARTADO",IF(NOT(ISNUMBER($C803)),"APARTADO",IF($C803&lt;1,"APARTADO",IF(NOW()-$C803&gt;1,"LIBRE","APARTADO"))),"LIBRE"))</f>
        <v/>
      </c>
      <c r="H803" s="15">
        <f>IF($G803&lt;&gt;"APARTADO","",IF(NOT(ISNUMBER($C803)),"FALTA LA HORA",IF($C803&lt;1,"FALTA LA FECHA",TEXT($C803+1,"dd/mm hh:mm"))))</f>
        <v/>
      </c>
    </row>
    <row r="804">
      <c r="A804" s="13" t="inlineStr">
        <is>
          <t>802</t>
        </is>
      </c>
      <c r="B804" t="inlineStr">
        <is>
          <t>LIBRE</t>
        </is>
      </c>
      <c r="C804" s="14" t="n"/>
      <c r="E804" s="15">
        <f>IF($G804&lt;&gt;"PAGADO","",IFERROR(IF(VLOOKUP($A804,COMPRADORES!$A:$D,4,FALSE)="NO","Reservado",LEFT(VLOOKUP($A804,COMPRADORES!$A:$D,2,FALSE),3)&amp;"***"&amp;IF(TRIM(MID(VLOOKUP($A804,COMPRADORES!$A:$D,2,FALSE)&amp;" ",FIND(" ",VLOOKUP($A804,COMPRADORES!$A:$D,2,FALSE)&amp;" ")+1,99))="",""," "&amp;LEFT(TRIM(MID(VLOOKUP($A804,COMPRADORES!$A:$D,2,FALSE)&amp;" ",FIND(" ",VLOOKUP($A804,COMPRADORES!$A:$D,2,FALSE)&amp;" ")+1,99)),1)&amp;".")),""))</f>
        <v/>
      </c>
      <c r="F804" s="16">
        <f>IF($B804="PAGADO",MID("ABCDEFGHIJ",INT(VALUE($A804)/100)+1,1)&amp;"-"&amp;$A804,"")</f>
        <v/>
      </c>
      <c r="G804" s="16">
        <f>IF($B804="PAGADO","PAGADO",IF($B804="APARTADO",IF(NOT(ISNUMBER($C804)),"APARTADO",IF($C804&lt;1,"APARTADO",IF(NOW()-$C804&gt;1,"LIBRE","APARTADO"))),"LIBRE"))</f>
        <v/>
      </c>
      <c r="H804" s="15">
        <f>IF($G804&lt;&gt;"APARTADO","",IF(NOT(ISNUMBER($C804)),"FALTA LA HORA",IF($C804&lt;1,"FALTA LA FECHA",TEXT($C804+1,"dd/mm hh:mm"))))</f>
        <v/>
      </c>
    </row>
    <row r="805">
      <c r="A805" s="13" t="inlineStr">
        <is>
          <t>803</t>
        </is>
      </c>
      <c r="B805" t="inlineStr">
        <is>
          <t>LIBRE</t>
        </is>
      </c>
      <c r="C805" s="14" t="n"/>
      <c r="E805" s="15">
        <f>IF($G805&lt;&gt;"PAGADO","",IFERROR(IF(VLOOKUP($A805,COMPRADORES!$A:$D,4,FALSE)="NO","Reservado",LEFT(VLOOKUP($A805,COMPRADORES!$A:$D,2,FALSE),3)&amp;"***"&amp;IF(TRIM(MID(VLOOKUP($A805,COMPRADORES!$A:$D,2,FALSE)&amp;" ",FIND(" ",VLOOKUP($A805,COMPRADORES!$A:$D,2,FALSE)&amp;" ")+1,99))="",""," "&amp;LEFT(TRIM(MID(VLOOKUP($A805,COMPRADORES!$A:$D,2,FALSE)&amp;" ",FIND(" ",VLOOKUP($A805,COMPRADORES!$A:$D,2,FALSE)&amp;" ")+1,99)),1)&amp;".")),""))</f>
        <v/>
      </c>
      <c r="F805" s="16">
        <f>IF($B805="PAGADO",MID("ABCDEFGHIJ",INT(VALUE($A805)/100)+1,1)&amp;"-"&amp;$A805,"")</f>
        <v/>
      </c>
      <c r="G805" s="16">
        <f>IF($B805="PAGADO","PAGADO",IF($B805="APARTADO",IF(NOT(ISNUMBER($C805)),"APARTADO",IF($C805&lt;1,"APARTADO",IF(NOW()-$C805&gt;1,"LIBRE","APARTADO"))),"LIBRE"))</f>
        <v/>
      </c>
      <c r="H805" s="15">
        <f>IF($G805&lt;&gt;"APARTADO","",IF(NOT(ISNUMBER($C805)),"FALTA LA HORA",IF($C805&lt;1,"FALTA LA FECHA",TEXT($C805+1,"dd/mm hh:mm"))))</f>
        <v/>
      </c>
    </row>
    <row r="806">
      <c r="A806" s="13" t="inlineStr">
        <is>
          <t>804</t>
        </is>
      </c>
      <c r="B806" t="inlineStr">
        <is>
          <t>LIBRE</t>
        </is>
      </c>
      <c r="C806" s="14" t="n"/>
      <c r="E806" s="15">
        <f>IF($G806&lt;&gt;"PAGADO","",IFERROR(IF(VLOOKUP($A806,COMPRADORES!$A:$D,4,FALSE)="NO","Reservado",LEFT(VLOOKUP($A806,COMPRADORES!$A:$D,2,FALSE),3)&amp;"***"&amp;IF(TRIM(MID(VLOOKUP($A806,COMPRADORES!$A:$D,2,FALSE)&amp;" ",FIND(" ",VLOOKUP($A806,COMPRADORES!$A:$D,2,FALSE)&amp;" ")+1,99))="",""," "&amp;LEFT(TRIM(MID(VLOOKUP($A806,COMPRADORES!$A:$D,2,FALSE)&amp;" ",FIND(" ",VLOOKUP($A806,COMPRADORES!$A:$D,2,FALSE)&amp;" ")+1,99)),1)&amp;".")),""))</f>
        <v/>
      </c>
      <c r="F806" s="16">
        <f>IF($B806="PAGADO",MID("ABCDEFGHIJ",INT(VALUE($A806)/100)+1,1)&amp;"-"&amp;$A806,"")</f>
        <v/>
      </c>
      <c r="G806" s="16">
        <f>IF($B806="PAGADO","PAGADO",IF($B806="APARTADO",IF(NOT(ISNUMBER($C806)),"APARTADO",IF($C806&lt;1,"APARTADO",IF(NOW()-$C806&gt;1,"LIBRE","APARTADO"))),"LIBRE"))</f>
        <v/>
      </c>
      <c r="H806" s="15">
        <f>IF($G806&lt;&gt;"APARTADO","",IF(NOT(ISNUMBER($C806)),"FALTA LA HORA",IF($C806&lt;1,"FALTA LA FECHA",TEXT($C806+1,"dd/mm hh:mm"))))</f>
        <v/>
      </c>
    </row>
    <row r="807">
      <c r="A807" s="13" t="inlineStr">
        <is>
          <t>805</t>
        </is>
      </c>
      <c r="B807" t="inlineStr">
        <is>
          <t>LIBRE</t>
        </is>
      </c>
      <c r="C807" s="14" t="n"/>
      <c r="E807" s="15">
        <f>IF($G807&lt;&gt;"PAGADO","",IFERROR(IF(VLOOKUP($A807,COMPRADORES!$A:$D,4,FALSE)="NO","Reservado",LEFT(VLOOKUP($A807,COMPRADORES!$A:$D,2,FALSE),3)&amp;"***"&amp;IF(TRIM(MID(VLOOKUP($A807,COMPRADORES!$A:$D,2,FALSE)&amp;" ",FIND(" ",VLOOKUP($A807,COMPRADORES!$A:$D,2,FALSE)&amp;" ")+1,99))="",""," "&amp;LEFT(TRIM(MID(VLOOKUP($A807,COMPRADORES!$A:$D,2,FALSE)&amp;" ",FIND(" ",VLOOKUP($A807,COMPRADORES!$A:$D,2,FALSE)&amp;" ")+1,99)),1)&amp;".")),""))</f>
        <v/>
      </c>
      <c r="F807" s="16">
        <f>IF($B807="PAGADO",MID("ABCDEFGHIJ",INT(VALUE($A807)/100)+1,1)&amp;"-"&amp;$A807,"")</f>
        <v/>
      </c>
      <c r="G807" s="16">
        <f>IF($B807="PAGADO","PAGADO",IF($B807="APARTADO",IF(NOT(ISNUMBER($C807)),"APARTADO",IF($C807&lt;1,"APARTADO",IF(NOW()-$C807&gt;1,"LIBRE","APARTADO"))),"LIBRE"))</f>
        <v/>
      </c>
      <c r="H807" s="15">
        <f>IF($G807&lt;&gt;"APARTADO","",IF(NOT(ISNUMBER($C807)),"FALTA LA HORA",IF($C807&lt;1,"FALTA LA FECHA",TEXT($C807+1,"dd/mm hh:mm"))))</f>
        <v/>
      </c>
    </row>
    <row r="808">
      <c r="A808" s="13" t="inlineStr">
        <is>
          <t>806</t>
        </is>
      </c>
      <c r="B808" t="inlineStr">
        <is>
          <t>LIBRE</t>
        </is>
      </c>
      <c r="C808" s="14" t="n"/>
      <c r="E808" s="15">
        <f>IF($G808&lt;&gt;"PAGADO","",IFERROR(IF(VLOOKUP($A808,COMPRADORES!$A:$D,4,FALSE)="NO","Reservado",LEFT(VLOOKUP($A808,COMPRADORES!$A:$D,2,FALSE),3)&amp;"***"&amp;IF(TRIM(MID(VLOOKUP($A808,COMPRADORES!$A:$D,2,FALSE)&amp;" ",FIND(" ",VLOOKUP($A808,COMPRADORES!$A:$D,2,FALSE)&amp;" ")+1,99))="",""," "&amp;LEFT(TRIM(MID(VLOOKUP($A808,COMPRADORES!$A:$D,2,FALSE)&amp;" ",FIND(" ",VLOOKUP($A808,COMPRADORES!$A:$D,2,FALSE)&amp;" ")+1,99)),1)&amp;".")),""))</f>
        <v/>
      </c>
      <c r="F808" s="16">
        <f>IF($B808="PAGADO",MID("ABCDEFGHIJ",INT(VALUE($A808)/100)+1,1)&amp;"-"&amp;$A808,"")</f>
        <v/>
      </c>
      <c r="G808" s="16">
        <f>IF($B808="PAGADO","PAGADO",IF($B808="APARTADO",IF(NOT(ISNUMBER($C808)),"APARTADO",IF($C808&lt;1,"APARTADO",IF(NOW()-$C808&gt;1,"LIBRE","APARTADO"))),"LIBRE"))</f>
        <v/>
      </c>
      <c r="H808" s="15">
        <f>IF($G808&lt;&gt;"APARTADO","",IF(NOT(ISNUMBER($C808)),"FALTA LA HORA",IF($C808&lt;1,"FALTA LA FECHA",TEXT($C808+1,"dd/mm hh:mm"))))</f>
        <v/>
      </c>
    </row>
    <row r="809">
      <c r="A809" s="13" t="inlineStr">
        <is>
          <t>807</t>
        </is>
      </c>
      <c r="B809" t="inlineStr">
        <is>
          <t>LIBRE</t>
        </is>
      </c>
      <c r="C809" s="14" t="n"/>
      <c r="E809" s="15">
        <f>IF($G809&lt;&gt;"PAGADO","",IFERROR(IF(VLOOKUP($A809,COMPRADORES!$A:$D,4,FALSE)="NO","Reservado",LEFT(VLOOKUP($A809,COMPRADORES!$A:$D,2,FALSE),3)&amp;"***"&amp;IF(TRIM(MID(VLOOKUP($A809,COMPRADORES!$A:$D,2,FALSE)&amp;" ",FIND(" ",VLOOKUP($A809,COMPRADORES!$A:$D,2,FALSE)&amp;" ")+1,99))="",""," "&amp;LEFT(TRIM(MID(VLOOKUP($A809,COMPRADORES!$A:$D,2,FALSE)&amp;" ",FIND(" ",VLOOKUP($A809,COMPRADORES!$A:$D,2,FALSE)&amp;" ")+1,99)),1)&amp;".")),""))</f>
        <v/>
      </c>
      <c r="F809" s="16">
        <f>IF($B809="PAGADO",MID("ABCDEFGHIJ",INT(VALUE($A809)/100)+1,1)&amp;"-"&amp;$A809,"")</f>
        <v/>
      </c>
      <c r="G809" s="16">
        <f>IF($B809="PAGADO","PAGADO",IF($B809="APARTADO",IF(NOT(ISNUMBER($C809)),"APARTADO",IF($C809&lt;1,"APARTADO",IF(NOW()-$C809&gt;1,"LIBRE","APARTADO"))),"LIBRE"))</f>
        <v/>
      </c>
      <c r="H809" s="15">
        <f>IF($G809&lt;&gt;"APARTADO","",IF(NOT(ISNUMBER($C809)),"FALTA LA HORA",IF($C809&lt;1,"FALTA LA FECHA",TEXT($C809+1,"dd/mm hh:mm"))))</f>
        <v/>
      </c>
    </row>
    <row r="810">
      <c r="A810" s="13" t="inlineStr">
        <is>
          <t>808</t>
        </is>
      </c>
      <c r="B810" t="inlineStr">
        <is>
          <t>LIBRE</t>
        </is>
      </c>
      <c r="C810" s="14" t="n"/>
      <c r="E810" s="15">
        <f>IF($G810&lt;&gt;"PAGADO","",IFERROR(IF(VLOOKUP($A810,COMPRADORES!$A:$D,4,FALSE)="NO","Reservado",LEFT(VLOOKUP($A810,COMPRADORES!$A:$D,2,FALSE),3)&amp;"***"&amp;IF(TRIM(MID(VLOOKUP($A810,COMPRADORES!$A:$D,2,FALSE)&amp;" ",FIND(" ",VLOOKUP($A810,COMPRADORES!$A:$D,2,FALSE)&amp;" ")+1,99))="",""," "&amp;LEFT(TRIM(MID(VLOOKUP($A810,COMPRADORES!$A:$D,2,FALSE)&amp;" ",FIND(" ",VLOOKUP($A810,COMPRADORES!$A:$D,2,FALSE)&amp;" ")+1,99)),1)&amp;".")),""))</f>
        <v/>
      </c>
      <c r="F810" s="16">
        <f>IF($B810="PAGADO",MID("ABCDEFGHIJ",INT(VALUE($A810)/100)+1,1)&amp;"-"&amp;$A810,"")</f>
        <v/>
      </c>
      <c r="G810" s="16">
        <f>IF($B810="PAGADO","PAGADO",IF($B810="APARTADO",IF(NOT(ISNUMBER($C810)),"APARTADO",IF($C810&lt;1,"APARTADO",IF(NOW()-$C810&gt;1,"LIBRE","APARTADO"))),"LIBRE"))</f>
        <v/>
      </c>
      <c r="H810" s="15">
        <f>IF($G810&lt;&gt;"APARTADO","",IF(NOT(ISNUMBER($C810)),"FALTA LA HORA",IF($C810&lt;1,"FALTA LA FECHA",TEXT($C810+1,"dd/mm hh:mm"))))</f>
        <v/>
      </c>
    </row>
    <row r="811">
      <c r="A811" s="13" t="inlineStr">
        <is>
          <t>809</t>
        </is>
      </c>
      <c r="B811" t="inlineStr">
        <is>
          <t>LIBRE</t>
        </is>
      </c>
      <c r="C811" s="14" t="n"/>
      <c r="E811" s="15">
        <f>IF($G811&lt;&gt;"PAGADO","",IFERROR(IF(VLOOKUP($A811,COMPRADORES!$A:$D,4,FALSE)="NO","Reservado",LEFT(VLOOKUP($A811,COMPRADORES!$A:$D,2,FALSE),3)&amp;"***"&amp;IF(TRIM(MID(VLOOKUP($A811,COMPRADORES!$A:$D,2,FALSE)&amp;" ",FIND(" ",VLOOKUP($A811,COMPRADORES!$A:$D,2,FALSE)&amp;" ")+1,99))="",""," "&amp;LEFT(TRIM(MID(VLOOKUP($A811,COMPRADORES!$A:$D,2,FALSE)&amp;" ",FIND(" ",VLOOKUP($A811,COMPRADORES!$A:$D,2,FALSE)&amp;" ")+1,99)),1)&amp;".")),""))</f>
        <v/>
      </c>
      <c r="F811" s="16">
        <f>IF($B811="PAGADO",MID("ABCDEFGHIJ",INT(VALUE($A811)/100)+1,1)&amp;"-"&amp;$A811,"")</f>
        <v/>
      </c>
      <c r="G811" s="16">
        <f>IF($B811="PAGADO","PAGADO",IF($B811="APARTADO",IF(NOT(ISNUMBER($C811)),"APARTADO",IF($C811&lt;1,"APARTADO",IF(NOW()-$C811&gt;1,"LIBRE","APARTADO"))),"LIBRE"))</f>
        <v/>
      </c>
      <c r="H811" s="15">
        <f>IF($G811&lt;&gt;"APARTADO","",IF(NOT(ISNUMBER($C811)),"FALTA LA HORA",IF($C811&lt;1,"FALTA LA FECHA",TEXT($C811+1,"dd/mm hh:mm"))))</f>
        <v/>
      </c>
    </row>
    <row r="812">
      <c r="A812" s="13" t="inlineStr">
        <is>
          <t>810</t>
        </is>
      </c>
      <c r="B812" t="inlineStr">
        <is>
          <t>LIBRE</t>
        </is>
      </c>
      <c r="C812" s="14" t="n"/>
      <c r="E812" s="15">
        <f>IF($G812&lt;&gt;"PAGADO","",IFERROR(IF(VLOOKUP($A812,COMPRADORES!$A:$D,4,FALSE)="NO","Reservado",LEFT(VLOOKUP($A812,COMPRADORES!$A:$D,2,FALSE),3)&amp;"***"&amp;IF(TRIM(MID(VLOOKUP($A812,COMPRADORES!$A:$D,2,FALSE)&amp;" ",FIND(" ",VLOOKUP($A812,COMPRADORES!$A:$D,2,FALSE)&amp;" ")+1,99))="",""," "&amp;LEFT(TRIM(MID(VLOOKUP($A812,COMPRADORES!$A:$D,2,FALSE)&amp;" ",FIND(" ",VLOOKUP($A812,COMPRADORES!$A:$D,2,FALSE)&amp;" ")+1,99)),1)&amp;".")),""))</f>
        <v/>
      </c>
      <c r="F812" s="16">
        <f>IF($B812="PAGADO",MID("ABCDEFGHIJ",INT(VALUE($A812)/100)+1,1)&amp;"-"&amp;$A812,"")</f>
        <v/>
      </c>
      <c r="G812" s="16">
        <f>IF($B812="PAGADO","PAGADO",IF($B812="APARTADO",IF(NOT(ISNUMBER($C812)),"APARTADO",IF($C812&lt;1,"APARTADO",IF(NOW()-$C812&gt;1,"LIBRE","APARTADO"))),"LIBRE"))</f>
        <v/>
      </c>
      <c r="H812" s="15">
        <f>IF($G812&lt;&gt;"APARTADO","",IF(NOT(ISNUMBER($C812)),"FALTA LA HORA",IF($C812&lt;1,"FALTA LA FECHA",TEXT($C812+1,"dd/mm hh:mm"))))</f>
        <v/>
      </c>
    </row>
    <row r="813">
      <c r="A813" s="13" t="inlineStr">
        <is>
          <t>811</t>
        </is>
      </c>
      <c r="B813" t="inlineStr">
        <is>
          <t>LIBRE</t>
        </is>
      </c>
      <c r="C813" s="14" t="n"/>
      <c r="E813" s="15">
        <f>IF($G813&lt;&gt;"PAGADO","",IFERROR(IF(VLOOKUP($A813,COMPRADORES!$A:$D,4,FALSE)="NO","Reservado",LEFT(VLOOKUP($A813,COMPRADORES!$A:$D,2,FALSE),3)&amp;"***"&amp;IF(TRIM(MID(VLOOKUP($A813,COMPRADORES!$A:$D,2,FALSE)&amp;" ",FIND(" ",VLOOKUP($A813,COMPRADORES!$A:$D,2,FALSE)&amp;" ")+1,99))="",""," "&amp;LEFT(TRIM(MID(VLOOKUP($A813,COMPRADORES!$A:$D,2,FALSE)&amp;" ",FIND(" ",VLOOKUP($A813,COMPRADORES!$A:$D,2,FALSE)&amp;" ")+1,99)),1)&amp;".")),""))</f>
        <v/>
      </c>
      <c r="F813" s="16">
        <f>IF($B813="PAGADO",MID("ABCDEFGHIJ",INT(VALUE($A813)/100)+1,1)&amp;"-"&amp;$A813,"")</f>
        <v/>
      </c>
      <c r="G813" s="16">
        <f>IF($B813="PAGADO","PAGADO",IF($B813="APARTADO",IF(NOT(ISNUMBER($C813)),"APARTADO",IF($C813&lt;1,"APARTADO",IF(NOW()-$C813&gt;1,"LIBRE","APARTADO"))),"LIBRE"))</f>
        <v/>
      </c>
      <c r="H813" s="15">
        <f>IF($G813&lt;&gt;"APARTADO","",IF(NOT(ISNUMBER($C813)),"FALTA LA HORA",IF($C813&lt;1,"FALTA LA FECHA",TEXT($C813+1,"dd/mm hh:mm"))))</f>
        <v/>
      </c>
    </row>
    <row r="814">
      <c r="A814" s="13" t="inlineStr">
        <is>
          <t>812</t>
        </is>
      </c>
      <c r="B814" t="inlineStr">
        <is>
          <t>LIBRE</t>
        </is>
      </c>
      <c r="C814" s="14" t="n"/>
      <c r="E814" s="15">
        <f>IF($G814&lt;&gt;"PAGADO","",IFERROR(IF(VLOOKUP($A814,COMPRADORES!$A:$D,4,FALSE)="NO","Reservado",LEFT(VLOOKUP($A814,COMPRADORES!$A:$D,2,FALSE),3)&amp;"***"&amp;IF(TRIM(MID(VLOOKUP($A814,COMPRADORES!$A:$D,2,FALSE)&amp;" ",FIND(" ",VLOOKUP($A814,COMPRADORES!$A:$D,2,FALSE)&amp;" ")+1,99))="",""," "&amp;LEFT(TRIM(MID(VLOOKUP($A814,COMPRADORES!$A:$D,2,FALSE)&amp;" ",FIND(" ",VLOOKUP($A814,COMPRADORES!$A:$D,2,FALSE)&amp;" ")+1,99)),1)&amp;".")),""))</f>
        <v/>
      </c>
      <c r="F814" s="16">
        <f>IF($B814="PAGADO",MID("ABCDEFGHIJ",INT(VALUE($A814)/100)+1,1)&amp;"-"&amp;$A814,"")</f>
        <v/>
      </c>
      <c r="G814" s="16">
        <f>IF($B814="PAGADO","PAGADO",IF($B814="APARTADO",IF(NOT(ISNUMBER($C814)),"APARTADO",IF($C814&lt;1,"APARTADO",IF(NOW()-$C814&gt;1,"LIBRE","APARTADO"))),"LIBRE"))</f>
        <v/>
      </c>
      <c r="H814" s="15">
        <f>IF($G814&lt;&gt;"APARTADO","",IF(NOT(ISNUMBER($C814)),"FALTA LA HORA",IF($C814&lt;1,"FALTA LA FECHA",TEXT($C814+1,"dd/mm hh:mm"))))</f>
        <v/>
      </c>
    </row>
    <row r="815">
      <c r="A815" s="13" t="inlineStr">
        <is>
          <t>813</t>
        </is>
      </c>
      <c r="B815" t="inlineStr">
        <is>
          <t>LIBRE</t>
        </is>
      </c>
      <c r="C815" s="14" t="n"/>
      <c r="E815" s="15">
        <f>IF($G815&lt;&gt;"PAGADO","",IFERROR(IF(VLOOKUP($A815,COMPRADORES!$A:$D,4,FALSE)="NO","Reservado",LEFT(VLOOKUP($A815,COMPRADORES!$A:$D,2,FALSE),3)&amp;"***"&amp;IF(TRIM(MID(VLOOKUP($A815,COMPRADORES!$A:$D,2,FALSE)&amp;" ",FIND(" ",VLOOKUP($A815,COMPRADORES!$A:$D,2,FALSE)&amp;" ")+1,99))="",""," "&amp;LEFT(TRIM(MID(VLOOKUP($A815,COMPRADORES!$A:$D,2,FALSE)&amp;" ",FIND(" ",VLOOKUP($A815,COMPRADORES!$A:$D,2,FALSE)&amp;" ")+1,99)),1)&amp;".")),""))</f>
        <v/>
      </c>
      <c r="F815" s="16">
        <f>IF($B815="PAGADO",MID("ABCDEFGHIJ",INT(VALUE($A815)/100)+1,1)&amp;"-"&amp;$A815,"")</f>
        <v/>
      </c>
      <c r="G815" s="16">
        <f>IF($B815="PAGADO","PAGADO",IF($B815="APARTADO",IF(NOT(ISNUMBER($C815)),"APARTADO",IF($C815&lt;1,"APARTADO",IF(NOW()-$C815&gt;1,"LIBRE","APARTADO"))),"LIBRE"))</f>
        <v/>
      </c>
      <c r="H815" s="15">
        <f>IF($G815&lt;&gt;"APARTADO","",IF(NOT(ISNUMBER($C815)),"FALTA LA HORA",IF($C815&lt;1,"FALTA LA FECHA",TEXT($C815+1,"dd/mm hh:mm"))))</f>
        <v/>
      </c>
    </row>
    <row r="816">
      <c r="A816" s="13" t="inlineStr">
        <is>
          <t>814</t>
        </is>
      </c>
      <c r="B816" t="inlineStr">
        <is>
          <t>LIBRE</t>
        </is>
      </c>
      <c r="C816" s="14" t="n"/>
      <c r="E816" s="15">
        <f>IF($G816&lt;&gt;"PAGADO","",IFERROR(IF(VLOOKUP($A816,COMPRADORES!$A:$D,4,FALSE)="NO","Reservado",LEFT(VLOOKUP($A816,COMPRADORES!$A:$D,2,FALSE),3)&amp;"***"&amp;IF(TRIM(MID(VLOOKUP($A816,COMPRADORES!$A:$D,2,FALSE)&amp;" ",FIND(" ",VLOOKUP($A816,COMPRADORES!$A:$D,2,FALSE)&amp;" ")+1,99))="",""," "&amp;LEFT(TRIM(MID(VLOOKUP($A816,COMPRADORES!$A:$D,2,FALSE)&amp;" ",FIND(" ",VLOOKUP($A816,COMPRADORES!$A:$D,2,FALSE)&amp;" ")+1,99)),1)&amp;".")),""))</f>
        <v/>
      </c>
      <c r="F816" s="16">
        <f>IF($B816="PAGADO",MID("ABCDEFGHIJ",INT(VALUE($A816)/100)+1,1)&amp;"-"&amp;$A816,"")</f>
        <v/>
      </c>
      <c r="G816" s="16">
        <f>IF($B816="PAGADO","PAGADO",IF($B816="APARTADO",IF(NOT(ISNUMBER($C816)),"APARTADO",IF($C816&lt;1,"APARTADO",IF(NOW()-$C816&gt;1,"LIBRE","APARTADO"))),"LIBRE"))</f>
        <v/>
      </c>
      <c r="H816" s="15">
        <f>IF($G816&lt;&gt;"APARTADO","",IF(NOT(ISNUMBER($C816)),"FALTA LA HORA",IF($C816&lt;1,"FALTA LA FECHA",TEXT($C816+1,"dd/mm hh:mm"))))</f>
        <v/>
      </c>
    </row>
    <row r="817">
      <c r="A817" s="13" t="inlineStr">
        <is>
          <t>815</t>
        </is>
      </c>
      <c r="B817" t="inlineStr">
        <is>
          <t>LIBRE</t>
        </is>
      </c>
      <c r="C817" s="14" t="n"/>
      <c r="E817" s="15">
        <f>IF($G817&lt;&gt;"PAGADO","",IFERROR(IF(VLOOKUP($A817,COMPRADORES!$A:$D,4,FALSE)="NO","Reservado",LEFT(VLOOKUP($A817,COMPRADORES!$A:$D,2,FALSE),3)&amp;"***"&amp;IF(TRIM(MID(VLOOKUP($A817,COMPRADORES!$A:$D,2,FALSE)&amp;" ",FIND(" ",VLOOKUP($A817,COMPRADORES!$A:$D,2,FALSE)&amp;" ")+1,99))="",""," "&amp;LEFT(TRIM(MID(VLOOKUP($A817,COMPRADORES!$A:$D,2,FALSE)&amp;" ",FIND(" ",VLOOKUP($A817,COMPRADORES!$A:$D,2,FALSE)&amp;" ")+1,99)),1)&amp;".")),""))</f>
        <v/>
      </c>
      <c r="F817" s="16">
        <f>IF($B817="PAGADO",MID("ABCDEFGHIJ",INT(VALUE($A817)/100)+1,1)&amp;"-"&amp;$A817,"")</f>
        <v/>
      </c>
      <c r="G817" s="16">
        <f>IF($B817="PAGADO","PAGADO",IF($B817="APARTADO",IF(NOT(ISNUMBER($C817)),"APARTADO",IF($C817&lt;1,"APARTADO",IF(NOW()-$C817&gt;1,"LIBRE","APARTADO"))),"LIBRE"))</f>
        <v/>
      </c>
      <c r="H817" s="15">
        <f>IF($G817&lt;&gt;"APARTADO","",IF(NOT(ISNUMBER($C817)),"FALTA LA HORA",IF($C817&lt;1,"FALTA LA FECHA",TEXT($C817+1,"dd/mm hh:mm"))))</f>
        <v/>
      </c>
    </row>
    <row r="818">
      <c r="A818" s="13" t="inlineStr">
        <is>
          <t>816</t>
        </is>
      </c>
      <c r="B818" t="inlineStr">
        <is>
          <t>LIBRE</t>
        </is>
      </c>
      <c r="C818" s="14" t="n"/>
      <c r="E818" s="15">
        <f>IF($G818&lt;&gt;"PAGADO","",IFERROR(IF(VLOOKUP($A818,COMPRADORES!$A:$D,4,FALSE)="NO","Reservado",LEFT(VLOOKUP($A818,COMPRADORES!$A:$D,2,FALSE),3)&amp;"***"&amp;IF(TRIM(MID(VLOOKUP($A818,COMPRADORES!$A:$D,2,FALSE)&amp;" ",FIND(" ",VLOOKUP($A818,COMPRADORES!$A:$D,2,FALSE)&amp;" ")+1,99))="",""," "&amp;LEFT(TRIM(MID(VLOOKUP($A818,COMPRADORES!$A:$D,2,FALSE)&amp;" ",FIND(" ",VLOOKUP($A818,COMPRADORES!$A:$D,2,FALSE)&amp;" ")+1,99)),1)&amp;".")),""))</f>
        <v/>
      </c>
      <c r="F818" s="16">
        <f>IF($B818="PAGADO",MID("ABCDEFGHIJ",INT(VALUE($A818)/100)+1,1)&amp;"-"&amp;$A818,"")</f>
        <v/>
      </c>
      <c r="G818" s="16">
        <f>IF($B818="PAGADO","PAGADO",IF($B818="APARTADO",IF(NOT(ISNUMBER($C818)),"APARTADO",IF($C818&lt;1,"APARTADO",IF(NOW()-$C818&gt;1,"LIBRE","APARTADO"))),"LIBRE"))</f>
        <v/>
      </c>
      <c r="H818" s="15">
        <f>IF($G818&lt;&gt;"APARTADO","",IF(NOT(ISNUMBER($C818)),"FALTA LA HORA",IF($C818&lt;1,"FALTA LA FECHA",TEXT($C818+1,"dd/mm hh:mm"))))</f>
        <v/>
      </c>
    </row>
    <row r="819">
      <c r="A819" s="13" t="inlineStr">
        <is>
          <t>817</t>
        </is>
      </c>
      <c r="B819" t="inlineStr">
        <is>
          <t>LIBRE</t>
        </is>
      </c>
      <c r="C819" s="14" t="n"/>
      <c r="E819" s="15">
        <f>IF($G819&lt;&gt;"PAGADO","",IFERROR(IF(VLOOKUP($A819,COMPRADORES!$A:$D,4,FALSE)="NO","Reservado",LEFT(VLOOKUP($A819,COMPRADORES!$A:$D,2,FALSE),3)&amp;"***"&amp;IF(TRIM(MID(VLOOKUP($A819,COMPRADORES!$A:$D,2,FALSE)&amp;" ",FIND(" ",VLOOKUP($A819,COMPRADORES!$A:$D,2,FALSE)&amp;" ")+1,99))="",""," "&amp;LEFT(TRIM(MID(VLOOKUP($A819,COMPRADORES!$A:$D,2,FALSE)&amp;" ",FIND(" ",VLOOKUP($A819,COMPRADORES!$A:$D,2,FALSE)&amp;" ")+1,99)),1)&amp;".")),""))</f>
        <v/>
      </c>
      <c r="F819" s="16">
        <f>IF($B819="PAGADO",MID("ABCDEFGHIJ",INT(VALUE($A819)/100)+1,1)&amp;"-"&amp;$A819,"")</f>
        <v/>
      </c>
      <c r="G819" s="16">
        <f>IF($B819="PAGADO","PAGADO",IF($B819="APARTADO",IF(NOT(ISNUMBER($C819)),"APARTADO",IF($C819&lt;1,"APARTADO",IF(NOW()-$C819&gt;1,"LIBRE","APARTADO"))),"LIBRE"))</f>
        <v/>
      </c>
      <c r="H819" s="15">
        <f>IF($G819&lt;&gt;"APARTADO","",IF(NOT(ISNUMBER($C819)),"FALTA LA HORA",IF($C819&lt;1,"FALTA LA FECHA",TEXT($C819+1,"dd/mm hh:mm"))))</f>
        <v/>
      </c>
    </row>
    <row r="820">
      <c r="A820" s="13" t="inlineStr">
        <is>
          <t>818</t>
        </is>
      </c>
      <c r="B820" t="inlineStr">
        <is>
          <t>LIBRE</t>
        </is>
      </c>
      <c r="C820" s="14" t="n"/>
      <c r="E820" s="15">
        <f>IF($G820&lt;&gt;"PAGADO","",IFERROR(IF(VLOOKUP($A820,COMPRADORES!$A:$D,4,FALSE)="NO","Reservado",LEFT(VLOOKUP($A820,COMPRADORES!$A:$D,2,FALSE),3)&amp;"***"&amp;IF(TRIM(MID(VLOOKUP($A820,COMPRADORES!$A:$D,2,FALSE)&amp;" ",FIND(" ",VLOOKUP($A820,COMPRADORES!$A:$D,2,FALSE)&amp;" ")+1,99))="",""," "&amp;LEFT(TRIM(MID(VLOOKUP($A820,COMPRADORES!$A:$D,2,FALSE)&amp;" ",FIND(" ",VLOOKUP($A820,COMPRADORES!$A:$D,2,FALSE)&amp;" ")+1,99)),1)&amp;".")),""))</f>
        <v/>
      </c>
      <c r="F820" s="16">
        <f>IF($B820="PAGADO",MID("ABCDEFGHIJ",INT(VALUE($A820)/100)+1,1)&amp;"-"&amp;$A820,"")</f>
        <v/>
      </c>
      <c r="G820" s="16">
        <f>IF($B820="PAGADO","PAGADO",IF($B820="APARTADO",IF(NOT(ISNUMBER($C820)),"APARTADO",IF($C820&lt;1,"APARTADO",IF(NOW()-$C820&gt;1,"LIBRE","APARTADO"))),"LIBRE"))</f>
        <v/>
      </c>
      <c r="H820" s="15">
        <f>IF($G820&lt;&gt;"APARTADO","",IF(NOT(ISNUMBER($C820)),"FALTA LA HORA",IF($C820&lt;1,"FALTA LA FECHA",TEXT($C820+1,"dd/mm hh:mm"))))</f>
        <v/>
      </c>
    </row>
    <row r="821">
      <c r="A821" s="13" t="inlineStr">
        <is>
          <t>819</t>
        </is>
      </c>
      <c r="B821" t="inlineStr">
        <is>
          <t>LIBRE</t>
        </is>
      </c>
      <c r="C821" s="14" t="n"/>
      <c r="E821" s="15">
        <f>IF($G821&lt;&gt;"PAGADO","",IFERROR(IF(VLOOKUP($A821,COMPRADORES!$A:$D,4,FALSE)="NO","Reservado",LEFT(VLOOKUP($A821,COMPRADORES!$A:$D,2,FALSE),3)&amp;"***"&amp;IF(TRIM(MID(VLOOKUP($A821,COMPRADORES!$A:$D,2,FALSE)&amp;" ",FIND(" ",VLOOKUP($A821,COMPRADORES!$A:$D,2,FALSE)&amp;" ")+1,99))="",""," "&amp;LEFT(TRIM(MID(VLOOKUP($A821,COMPRADORES!$A:$D,2,FALSE)&amp;" ",FIND(" ",VLOOKUP($A821,COMPRADORES!$A:$D,2,FALSE)&amp;" ")+1,99)),1)&amp;".")),""))</f>
        <v/>
      </c>
      <c r="F821" s="16">
        <f>IF($B821="PAGADO",MID("ABCDEFGHIJ",INT(VALUE($A821)/100)+1,1)&amp;"-"&amp;$A821,"")</f>
        <v/>
      </c>
      <c r="G821" s="16">
        <f>IF($B821="PAGADO","PAGADO",IF($B821="APARTADO",IF(NOT(ISNUMBER($C821)),"APARTADO",IF($C821&lt;1,"APARTADO",IF(NOW()-$C821&gt;1,"LIBRE","APARTADO"))),"LIBRE"))</f>
        <v/>
      </c>
      <c r="H821" s="15">
        <f>IF($G821&lt;&gt;"APARTADO","",IF(NOT(ISNUMBER($C821)),"FALTA LA HORA",IF($C821&lt;1,"FALTA LA FECHA",TEXT($C821+1,"dd/mm hh:mm"))))</f>
        <v/>
      </c>
    </row>
    <row r="822">
      <c r="A822" s="13" t="inlineStr">
        <is>
          <t>820</t>
        </is>
      </c>
      <c r="B822" t="inlineStr">
        <is>
          <t>LIBRE</t>
        </is>
      </c>
      <c r="C822" s="14" t="n"/>
      <c r="E822" s="15">
        <f>IF($G822&lt;&gt;"PAGADO","",IFERROR(IF(VLOOKUP($A822,COMPRADORES!$A:$D,4,FALSE)="NO","Reservado",LEFT(VLOOKUP($A822,COMPRADORES!$A:$D,2,FALSE),3)&amp;"***"&amp;IF(TRIM(MID(VLOOKUP($A822,COMPRADORES!$A:$D,2,FALSE)&amp;" ",FIND(" ",VLOOKUP($A822,COMPRADORES!$A:$D,2,FALSE)&amp;" ")+1,99))="",""," "&amp;LEFT(TRIM(MID(VLOOKUP($A822,COMPRADORES!$A:$D,2,FALSE)&amp;" ",FIND(" ",VLOOKUP($A822,COMPRADORES!$A:$D,2,FALSE)&amp;" ")+1,99)),1)&amp;".")),""))</f>
        <v/>
      </c>
      <c r="F822" s="16">
        <f>IF($B822="PAGADO",MID("ABCDEFGHIJ",INT(VALUE($A822)/100)+1,1)&amp;"-"&amp;$A822,"")</f>
        <v/>
      </c>
      <c r="G822" s="16">
        <f>IF($B822="PAGADO","PAGADO",IF($B822="APARTADO",IF(NOT(ISNUMBER($C822)),"APARTADO",IF($C822&lt;1,"APARTADO",IF(NOW()-$C822&gt;1,"LIBRE","APARTADO"))),"LIBRE"))</f>
        <v/>
      </c>
      <c r="H822" s="15">
        <f>IF($G822&lt;&gt;"APARTADO","",IF(NOT(ISNUMBER($C822)),"FALTA LA HORA",IF($C822&lt;1,"FALTA LA FECHA",TEXT($C822+1,"dd/mm hh:mm"))))</f>
        <v/>
      </c>
    </row>
    <row r="823">
      <c r="A823" s="13" t="inlineStr">
        <is>
          <t>821</t>
        </is>
      </c>
      <c r="B823" t="inlineStr">
        <is>
          <t>LIBRE</t>
        </is>
      </c>
      <c r="C823" s="14" t="n"/>
      <c r="E823" s="15">
        <f>IF($G823&lt;&gt;"PAGADO","",IFERROR(IF(VLOOKUP($A823,COMPRADORES!$A:$D,4,FALSE)="NO","Reservado",LEFT(VLOOKUP($A823,COMPRADORES!$A:$D,2,FALSE),3)&amp;"***"&amp;IF(TRIM(MID(VLOOKUP($A823,COMPRADORES!$A:$D,2,FALSE)&amp;" ",FIND(" ",VLOOKUP($A823,COMPRADORES!$A:$D,2,FALSE)&amp;" ")+1,99))="",""," "&amp;LEFT(TRIM(MID(VLOOKUP($A823,COMPRADORES!$A:$D,2,FALSE)&amp;" ",FIND(" ",VLOOKUP($A823,COMPRADORES!$A:$D,2,FALSE)&amp;" ")+1,99)),1)&amp;".")),""))</f>
        <v/>
      </c>
      <c r="F823" s="16">
        <f>IF($B823="PAGADO",MID("ABCDEFGHIJ",INT(VALUE($A823)/100)+1,1)&amp;"-"&amp;$A823,"")</f>
        <v/>
      </c>
      <c r="G823" s="16">
        <f>IF($B823="PAGADO","PAGADO",IF($B823="APARTADO",IF(NOT(ISNUMBER($C823)),"APARTADO",IF($C823&lt;1,"APARTADO",IF(NOW()-$C823&gt;1,"LIBRE","APARTADO"))),"LIBRE"))</f>
        <v/>
      </c>
      <c r="H823" s="15">
        <f>IF($G823&lt;&gt;"APARTADO","",IF(NOT(ISNUMBER($C823)),"FALTA LA HORA",IF($C823&lt;1,"FALTA LA FECHA",TEXT($C823+1,"dd/mm hh:mm"))))</f>
        <v/>
      </c>
    </row>
    <row r="824">
      <c r="A824" s="13" t="inlineStr">
        <is>
          <t>822</t>
        </is>
      </c>
      <c r="B824" t="inlineStr">
        <is>
          <t>LIBRE</t>
        </is>
      </c>
      <c r="C824" s="14" t="n"/>
      <c r="E824" s="15">
        <f>IF($G824&lt;&gt;"PAGADO","",IFERROR(IF(VLOOKUP($A824,COMPRADORES!$A:$D,4,FALSE)="NO","Reservado",LEFT(VLOOKUP($A824,COMPRADORES!$A:$D,2,FALSE),3)&amp;"***"&amp;IF(TRIM(MID(VLOOKUP($A824,COMPRADORES!$A:$D,2,FALSE)&amp;" ",FIND(" ",VLOOKUP($A824,COMPRADORES!$A:$D,2,FALSE)&amp;" ")+1,99))="",""," "&amp;LEFT(TRIM(MID(VLOOKUP($A824,COMPRADORES!$A:$D,2,FALSE)&amp;" ",FIND(" ",VLOOKUP($A824,COMPRADORES!$A:$D,2,FALSE)&amp;" ")+1,99)),1)&amp;".")),""))</f>
        <v/>
      </c>
      <c r="F824" s="16">
        <f>IF($B824="PAGADO",MID("ABCDEFGHIJ",INT(VALUE($A824)/100)+1,1)&amp;"-"&amp;$A824,"")</f>
        <v/>
      </c>
      <c r="G824" s="16">
        <f>IF($B824="PAGADO","PAGADO",IF($B824="APARTADO",IF(NOT(ISNUMBER($C824)),"APARTADO",IF($C824&lt;1,"APARTADO",IF(NOW()-$C824&gt;1,"LIBRE","APARTADO"))),"LIBRE"))</f>
        <v/>
      </c>
      <c r="H824" s="15">
        <f>IF($G824&lt;&gt;"APARTADO","",IF(NOT(ISNUMBER($C824)),"FALTA LA HORA",IF($C824&lt;1,"FALTA LA FECHA",TEXT($C824+1,"dd/mm hh:mm"))))</f>
        <v/>
      </c>
    </row>
    <row r="825">
      <c r="A825" s="13" t="inlineStr">
        <is>
          <t>823</t>
        </is>
      </c>
      <c r="B825" t="inlineStr">
        <is>
          <t>LIBRE</t>
        </is>
      </c>
      <c r="C825" s="14" t="n"/>
      <c r="E825" s="15">
        <f>IF($G825&lt;&gt;"PAGADO","",IFERROR(IF(VLOOKUP($A825,COMPRADORES!$A:$D,4,FALSE)="NO","Reservado",LEFT(VLOOKUP($A825,COMPRADORES!$A:$D,2,FALSE),3)&amp;"***"&amp;IF(TRIM(MID(VLOOKUP($A825,COMPRADORES!$A:$D,2,FALSE)&amp;" ",FIND(" ",VLOOKUP($A825,COMPRADORES!$A:$D,2,FALSE)&amp;" ")+1,99))="",""," "&amp;LEFT(TRIM(MID(VLOOKUP($A825,COMPRADORES!$A:$D,2,FALSE)&amp;" ",FIND(" ",VLOOKUP($A825,COMPRADORES!$A:$D,2,FALSE)&amp;" ")+1,99)),1)&amp;".")),""))</f>
        <v/>
      </c>
      <c r="F825" s="16">
        <f>IF($B825="PAGADO",MID("ABCDEFGHIJ",INT(VALUE($A825)/100)+1,1)&amp;"-"&amp;$A825,"")</f>
        <v/>
      </c>
      <c r="G825" s="16">
        <f>IF($B825="PAGADO","PAGADO",IF($B825="APARTADO",IF(NOT(ISNUMBER($C825)),"APARTADO",IF($C825&lt;1,"APARTADO",IF(NOW()-$C825&gt;1,"LIBRE","APARTADO"))),"LIBRE"))</f>
        <v/>
      </c>
      <c r="H825" s="15">
        <f>IF($G825&lt;&gt;"APARTADO","",IF(NOT(ISNUMBER($C825)),"FALTA LA HORA",IF($C825&lt;1,"FALTA LA FECHA",TEXT($C825+1,"dd/mm hh:mm"))))</f>
        <v/>
      </c>
    </row>
    <row r="826">
      <c r="A826" s="13" t="inlineStr">
        <is>
          <t>824</t>
        </is>
      </c>
      <c r="B826" t="inlineStr">
        <is>
          <t>LIBRE</t>
        </is>
      </c>
      <c r="C826" s="14" t="n"/>
      <c r="E826" s="15">
        <f>IF($G826&lt;&gt;"PAGADO","",IFERROR(IF(VLOOKUP($A826,COMPRADORES!$A:$D,4,FALSE)="NO","Reservado",LEFT(VLOOKUP($A826,COMPRADORES!$A:$D,2,FALSE),3)&amp;"***"&amp;IF(TRIM(MID(VLOOKUP($A826,COMPRADORES!$A:$D,2,FALSE)&amp;" ",FIND(" ",VLOOKUP($A826,COMPRADORES!$A:$D,2,FALSE)&amp;" ")+1,99))="",""," "&amp;LEFT(TRIM(MID(VLOOKUP($A826,COMPRADORES!$A:$D,2,FALSE)&amp;" ",FIND(" ",VLOOKUP($A826,COMPRADORES!$A:$D,2,FALSE)&amp;" ")+1,99)),1)&amp;".")),""))</f>
        <v/>
      </c>
      <c r="F826" s="16">
        <f>IF($B826="PAGADO",MID("ABCDEFGHIJ",INT(VALUE($A826)/100)+1,1)&amp;"-"&amp;$A826,"")</f>
        <v/>
      </c>
      <c r="G826" s="16">
        <f>IF($B826="PAGADO","PAGADO",IF($B826="APARTADO",IF(NOT(ISNUMBER($C826)),"APARTADO",IF($C826&lt;1,"APARTADO",IF(NOW()-$C826&gt;1,"LIBRE","APARTADO"))),"LIBRE"))</f>
        <v/>
      </c>
      <c r="H826" s="15">
        <f>IF($G826&lt;&gt;"APARTADO","",IF(NOT(ISNUMBER($C826)),"FALTA LA HORA",IF($C826&lt;1,"FALTA LA FECHA",TEXT($C826+1,"dd/mm hh:mm"))))</f>
        <v/>
      </c>
    </row>
    <row r="827">
      <c r="A827" s="13" t="inlineStr">
        <is>
          <t>825</t>
        </is>
      </c>
      <c r="B827" t="inlineStr">
        <is>
          <t>LIBRE</t>
        </is>
      </c>
      <c r="C827" s="14" t="n"/>
      <c r="E827" s="15">
        <f>IF($G827&lt;&gt;"PAGADO","",IFERROR(IF(VLOOKUP($A827,COMPRADORES!$A:$D,4,FALSE)="NO","Reservado",LEFT(VLOOKUP($A827,COMPRADORES!$A:$D,2,FALSE),3)&amp;"***"&amp;IF(TRIM(MID(VLOOKUP($A827,COMPRADORES!$A:$D,2,FALSE)&amp;" ",FIND(" ",VLOOKUP($A827,COMPRADORES!$A:$D,2,FALSE)&amp;" ")+1,99))="",""," "&amp;LEFT(TRIM(MID(VLOOKUP($A827,COMPRADORES!$A:$D,2,FALSE)&amp;" ",FIND(" ",VLOOKUP($A827,COMPRADORES!$A:$D,2,FALSE)&amp;" ")+1,99)),1)&amp;".")),""))</f>
        <v/>
      </c>
      <c r="F827" s="16">
        <f>IF($B827="PAGADO",MID("ABCDEFGHIJ",INT(VALUE($A827)/100)+1,1)&amp;"-"&amp;$A827,"")</f>
        <v/>
      </c>
      <c r="G827" s="16">
        <f>IF($B827="PAGADO","PAGADO",IF($B827="APARTADO",IF(NOT(ISNUMBER($C827)),"APARTADO",IF($C827&lt;1,"APARTADO",IF(NOW()-$C827&gt;1,"LIBRE","APARTADO"))),"LIBRE"))</f>
        <v/>
      </c>
      <c r="H827" s="15">
        <f>IF($G827&lt;&gt;"APARTADO","",IF(NOT(ISNUMBER($C827)),"FALTA LA HORA",IF($C827&lt;1,"FALTA LA FECHA",TEXT($C827+1,"dd/mm hh:mm"))))</f>
        <v/>
      </c>
    </row>
    <row r="828">
      <c r="A828" s="13" t="inlineStr">
        <is>
          <t>826</t>
        </is>
      </c>
      <c r="B828" t="inlineStr">
        <is>
          <t>LIBRE</t>
        </is>
      </c>
      <c r="C828" s="14" t="n"/>
      <c r="E828" s="15">
        <f>IF($G828&lt;&gt;"PAGADO","",IFERROR(IF(VLOOKUP($A828,COMPRADORES!$A:$D,4,FALSE)="NO","Reservado",LEFT(VLOOKUP($A828,COMPRADORES!$A:$D,2,FALSE),3)&amp;"***"&amp;IF(TRIM(MID(VLOOKUP($A828,COMPRADORES!$A:$D,2,FALSE)&amp;" ",FIND(" ",VLOOKUP($A828,COMPRADORES!$A:$D,2,FALSE)&amp;" ")+1,99))="",""," "&amp;LEFT(TRIM(MID(VLOOKUP($A828,COMPRADORES!$A:$D,2,FALSE)&amp;" ",FIND(" ",VLOOKUP($A828,COMPRADORES!$A:$D,2,FALSE)&amp;" ")+1,99)),1)&amp;".")),""))</f>
        <v/>
      </c>
      <c r="F828" s="16">
        <f>IF($B828="PAGADO",MID("ABCDEFGHIJ",INT(VALUE($A828)/100)+1,1)&amp;"-"&amp;$A828,"")</f>
        <v/>
      </c>
      <c r="G828" s="16">
        <f>IF($B828="PAGADO","PAGADO",IF($B828="APARTADO",IF(NOT(ISNUMBER($C828)),"APARTADO",IF($C828&lt;1,"APARTADO",IF(NOW()-$C828&gt;1,"LIBRE","APARTADO"))),"LIBRE"))</f>
        <v/>
      </c>
      <c r="H828" s="15">
        <f>IF($G828&lt;&gt;"APARTADO","",IF(NOT(ISNUMBER($C828)),"FALTA LA HORA",IF($C828&lt;1,"FALTA LA FECHA",TEXT($C828+1,"dd/mm hh:mm"))))</f>
        <v/>
      </c>
    </row>
    <row r="829">
      <c r="A829" s="13" t="inlineStr">
        <is>
          <t>827</t>
        </is>
      </c>
      <c r="B829" t="inlineStr">
        <is>
          <t>LIBRE</t>
        </is>
      </c>
      <c r="C829" s="14" t="n"/>
      <c r="E829" s="15">
        <f>IF($G829&lt;&gt;"PAGADO","",IFERROR(IF(VLOOKUP($A829,COMPRADORES!$A:$D,4,FALSE)="NO","Reservado",LEFT(VLOOKUP($A829,COMPRADORES!$A:$D,2,FALSE),3)&amp;"***"&amp;IF(TRIM(MID(VLOOKUP($A829,COMPRADORES!$A:$D,2,FALSE)&amp;" ",FIND(" ",VLOOKUP($A829,COMPRADORES!$A:$D,2,FALSE)&amp;" ")+1,99))="",""," "&amp;LEFT(TRIM(MID(VLOOKUP($A829,COMPRADORES!$A:$D,2,FALSE)&amp;" ",FIND(" ",VLOOKUP($A829,COMPRADORES!$A:$D,2,FALSE)&amp;" ")+1,99)),1)&amp;".")),""))</f>
        <v/>
      </c>
      <c r="F829" s="16">
        <f>IF($B829="PAGADO",MID("ABCDEFGHIJ",INT(VALUE($A829)/100)+1,1)&amp;"-"&amp;$A829,"")</f>
        <v/>
      </c>
      <c r="G829" s="16">
        <f>IF($B829="PAGADO","PAGADO",IF($B829="APARTADO",IF(NOT(ISNUMBER($C829)),"APARTADO",IF($C829&lt;1,"APARTADO",IF(NOW()-$C829&gt;1,"LIBRE","APARTADO"))),"LIBRE"))</f>
        <v/>
      </c>
      <c r="H829" s="15">
        <f>IF($G829&lt;&gt;"APARTADO","",IF(NOT(ISNUMBER($C829)),"FALTA LA HORA",IF($C829&lt;1,"FALTA LA FECHA",TEXT($C829+1,"dd/mm hh:mm"))))</f>
        <v/>
      </c>
    </row>
    <row r="830">
      <c r="A830" s="13" t="inlineStr">
        <is>
          <t>828</t>
        </is>
      </c>
      <c r="B830" t="inlineStr">
        <is>
          <t>LIBRE</t>
        </is>
      </c>
      <c r="C830" s="14" t="n"/>
      <c r="E830" s="15">
        <f>IF($G830&lt;&gt;"PAGADO","",IFERROR(IF(VLOOKUP($A830,COMPRADORES!$A:$D,4,FALSE)="NO","Reservado",LEFT(VLOOKUP($A830,COMPRADORES!$A:$D,2,FALSE),3)&amp;"***"&amp;IF(TRIM(MID(VLOOKUP($A830,COMPRADORES!$A:$D,2,FALSE)&amp;" ",FIND(" ",VLOOKUP($A830,COMPRADORES!$A:$D,2,FALSE)&amp;" ")+1,99))="",""," "&amp;LEFT(TRIM(MID(VLOOKUP($A830,COMPRADORES!$A:$D,2,FALSE)&amp;" ",FIND(" ",VLOOKUP($A830,COMPRADORES!$A:$D,2,FALSE)&amp;" ")+1,99)),1)&amp;".")),""))</f>
        <v/>
      </c>
      <c r="F830" s="16">
        <f>IF($B830="PAGADO",MID("ABCDEFGHIJ",INT(VALUE($A830)/100)+1,1)&amp;"-"&amp;$A830,"")</f>
        <v/>
      </c>
      <c r="G830" s="16">
        <f>IF($B830="PAGADO","PAGADO",IF($B830="APARTADO",IF(NOT(ISNUMBER($C830)),"APARTADO",IF($C830&lt;1,"APARTADO",IF(NOW()-$C830&gt;1,"LIBRE","APARTADO"))),"LIBRE"))</f>
        <v/>
      </c>
      <c r="H830" s="15">
        <f>IF($G830&lt;&gt;"APARTADO","",IF(NOT(ISNUMBER($C830)),"FALTA LA HORA",IF($C830&lt;1,"FALTA LA FECHA",TEXT($C830+1,"dd/mm hh:mm"))))</f>
        <v/>
      </c>
    </row>
    <row r="831">
      <c r="A831" s="13" t="inlineStr">
        <is>
          <t>829</t>
        </is>
      </c>
      <c r="B831" t="inlineStr">
        <is>
          <t>LIBRE</t>
        </is>
      </c>
      <c r="C831" s="14" t="n"/>
      <c r="E831" s="15">
        <f>IF($G831&lt;&gt;"PAGADO","",IFERROR(IF(VLOOKUP($A831,COMPRADORES!$A:$D,4,FALSE)="NO","Reservado",LEFT(VLOOKUP($A831,COMPRADORES!$A:$D,2,FALSE),3)&amp;"***"&amp;IF(TRIM(MID(VLOOKUP($A831,COMPRADORES!$A:$D,2,FALSE)&amp;" ",FIND(" ",VLOOKUP($A831,COMPRADORES!$A:$D,2,FALSE)&amp;" ")+1,99))="",""," "&amp;LEFT(TRIM(MID(VLOOKUP($A831,COMPRADORES!$A:$D,2,FALSE)&amp;" ",FIND(" ",VLOOKUP($A831,COMPRADORES!$A:$D,2,FALSE)&amp;" ")+1,99)),1)&amp;".")),""))</f>
        <v/>
      </c>
      <c r="F831" s="16">
        <f>IF($B831="PAGADO",MID("ABCDEFGHIJ",INT(VALUE($A831)/100)+1,1)&amp;"-"&amp;$A831,"")</f>
        <v/>
      </c>
      <c r="G831" s="16">
        <f>IF($B831="PAGADO","PAGADO",IF($B831="APARTADO",IF(NOT(ISNUMBER($C831)),"APARTADO",IF($C831&lt;1,"APARTADO",IF(NOW()-$C831&gt;1,"LIBRE","APARTADO"))),"LIBRE"))</f>
        <v/>
      </c>
      <c r="H831" s="15">
        <f>IF($G831&lt;&gt;"APARTADO","",IF(NOT(ISNUMBER($C831)),"FALTA LA HORA",IF($C831&lt;1,"FALTA LA FECHA",TEXT($C831+1,"dd/mm hh:mm"))))</f>
        <v/>
      </c>
    </row>
    <row r="832">
      <c r="A832" s="13" t="inlineStr">
        <is>
          <t>830</t>
        </is>
      </c>
      <c r="B832" t="inlineStr">
        <is>
          <t>LIBRE</t>
        </is>
      </c>
      <c r="C832" s="14" t="n"/>
      <c r="E832" s="15">
        <f>IF($G832&lt;&gt;"PAGADO","",IFERROR(IF(VLOOKUP($A832,COMPRADORES!$A:$D,4,FALSE)="NO","Reservado",LEFT(VLOOKUP($A832,COMPRADORES!$A:$D,2,FALSE),3)&amp;"***"&amp;IF(TRIM(MID(VLOOKUP($A832,COMPRADORES!$A:$D,2,FALSE)&amp;" ",FIND(" ",VLOOKUP($A832,COMPRADORES!$A:$D,2,FALSE)&amp;" ")+1,99))="",""," "&amp;LEFT(TRIM(MID(VLOOKUP($A832,COMPRADORES!$A:$D,2,FALSE)&amp;" ",FIND(" ",VLOOKUP($A832,COMPRADORES!$A:$D,2,FALSE)&amp;" ")+1,99)),1)&amp;".")),""))</f>
        <v/>
      </c>
      <c r="F832" s="16">
        <f>IF($B832="PAGADO",MID("ABCDEFGHIJ",INT(VALUE($A832)/100)+1,1)&amp;"-"&amp;$A832,"")</f>
        <v/>
      </c>
      <c r="G832" s="16">
        <f>IF($B832="PAGADO","PAGADO",IF($B832="APARTADO",IF(NOT(ISNUMBER($C832)),"APARTADO",IF($C832&lt;1,"APARTADO",IF(NOW()-$C832&gt;1,"LIBRE","APARTADO"))),"LIBRE"))</f>
        <v/>
      </c>
      <c r="H832" s="15">
        <f>IF($G832&lt;&gt;"APARTADO","",IF(NOT(ISNUMBER($C832)),"FALTA LA HORA",IF($C832&lt;1,"FALTA LA FECHA",TEXT($C832+1,"dd/mm hh:mm"))))</f>
        <v/>
      </c>
    </row>
    <row r="833">
      <c r="A833" s="13" t="inlineStr">
        <is>
          <t>831</t>
        </is>
      </c>
      <c r="B833" t="inlineStr">
        <is>
          <t>LIBRE</t>
        </is>
      </c>
      <c r="C833" s="14" t="n"/>
      <c r="E833" s="15">
        <f>IF($G833&lt;&gt;"PAGADO","",IFERROR(IF(VLOOKUP($A833,COMPRADORES!$A:$D,4,FALSE)="NO","Reservado",LEFT(VLOOKUP($A833,COMPRADORES!$A:$D,2,FALSE),3)&amp;"***"&amp;IF(TRIM(MID(VLOOKUP($A833,COMPRADORES!$A:$D,2,FALSE)&amp;" ",FIND(" ",VLOOKUP($A833,COMPRADORES!$A:$D,2,FALSE)&amp;" ")+1,99))="",""," "&amp;LEFT(TRIM(MID(VLOOKUP($A833,COMPRADORES!$A:$D,2,FALSE)&amp;" ",FIND(" ",VLOOKUP($A833,COMPRADORES!$A:$D,2,FALSE)&amp;" ")+1,99)),1)&amp;".")),""))</f>
        <v/>
      </c>
      <c r="F833" s="16">
        <f>IF($B833="PAGADO",MID("ABCDEFGHIJ",INT(VALUE($A833)/100)+1,1)&amp;"-"&amp;$A833,"")</f>
        <v/>
      </c>
      <c r="G833" s="16">
        <f>IF($B833="PAGADO","PAGADO",IF($B833="APARTADO",IF(NOT(ISNUMBER($C833)),"APARTADO",IF($C833&lt;1,"APARTADO",IF(NOW()-$C833&gt;1,"LIBRE","APARTADO"))),"LIBRE"))</f>
        <v/>
      </c>
      <c r="H833" s="15">
        <f>IF($G833&lt;&gt;"APARTADO","",IF(NOT(ISNUMBER($C833)),"FALTA LA HORA",IF($C833&lt;1,"FALTA LA FECHA",TEXT($C833+1,"dd/mm hh:mm"))))</f>
        <v/>
      </c>
    </row>
    <row r="834">
      <c r="A834" s="13" t="inlineStr">
        <is>
          <t>832</t>
        </is>
      </c>
      <c r="B834" t="inlineStr">
        <is>
          <t>LIBRE</t>
        </is>
      </c>
      <c r="C834" s="14" t="n"/>
      <c r="E834" s="15">
        <f>IF($G834&lt;&gt;"PAGADO","",IFERROR(IF(VLOOKUP($A834,COMPRADORES!$A:$D,4,FALSE)="NO","Reservado",LEFT(VLOOKUP($A834,COMPRADORES!$A:$D,2,FALSE),3)&amp;"***"&amp;IF(TRIM(MID(VLOOKUP($A834,COMPRADORES!$A:$D,2,FALSE)&amp;" ",FIND(" ",VLOOKUP($A834,COMPRADORES!$A:$D,2,FALSE)&amp;" ")+1,99))="",""," "&amp;LEFT(TRIM(MID(VLOOKUP($A834,COMPRADORES!$A:$D,2,FALSE)&amp;" ",FIND(" ",VLOOKUP($A834,COMPRADORES!$A:$D,2,FALSE)&amp;" ")+1,99)),1)&amp;".")),""))</f>
        <v/>
      </c>
      <c r="F834" s="16">
        <f>IF($B834="PAGADO",MID("ABCDEFGHIJ",INT(VALUE($A834)/100)+1,1)&amp;"-"&amp;$A834,"")</f>
        <v/>
      </c>
      <c r="G834" s="16">
        <f>IF($B834="PAGADO","PAGADO",IF($B834="APARTADO",IF(NOT(ISNUMBER($C834)),"APARTADO",IF($C834&lt;1,"APARTADO",IF(NOW()-$C834&gt;1,"LIBRE","APARTADO"))),"LIBRE"))</f>
        <v/>
      </c>
      <c r="H834" s="15">
        <f>IF($G834&lt;&gt;"APARTADO","",IF(NOT(ISNUMBER($C834)),"FALTA LA HORA",IF($C834&lt;1,"FALTA LA FECHA",TEXT($C834+1,"dd/mm hh:mm"))))</f>
        <v/>
      </c>
    </row>
    <row r="835">
      <c r="A835" s="13" t="inlineStr">
        <is>
          <t>833</t>
        </is>
      </c>
      <c r="B835" t="inlineStr">
        <is>
          <t>LIBRE</t>
        </is>
      </c>
      <c r="C835" s="14" t="n"/>
      <c r="E835" s="15">
        <f>IF($G835&lt;&gt;"PAGADO","",IFERROR(IF(VLOOKUP($A835,COMPRADORES!$A:$D,4,FALSE)="NO","Reservado",LEFT(VLOOKUP($A835,COMPRADORES!$A:$D,2,FALSE),3)&amp;"***"&amp;IF(TRIM(MID(VLOOKUP($A835,COMPRADORES!$A:$D,2,FALSE)&amp;" ",FIND(" ",VLOOKUP($A835,COMPRADORES!$A:$D,2,FALSE)&amp;" ")+1,99))="",""," "&amp;LEFT(TRIM(MID(VLOOKUP($A835,COMPRADORES!$A:$D,2,FALSE)&amp;" ",FIND(" ",VLOOKUP($A835,COMPRADORES!$A:$D,2,FALSE)&amp;" ")+1,99)),1)&amp;".")),""))</f>
        <v/>
      </c>
      <c r="F835" s="16">
        <f>IF($B835="PAGADO",MID("ABCDEFGHIJ",INT(VALUE($A835)/100)+1,1)&amp;"-"&amp;$A835,"")</f>
        <v/>
      </c>
      <c r="G835" s="16">
        <f>IF($B835="PAGADO","PAGADO",IF($B835="APARTADO",IF(NOT(ISNUMBER($C835)),"APARTADO",IF($C835&lt;1,"APARTADO",IF(NOW()-$C835&gt;1,"LIBRE","APARTADO"))),"LIBRE"))</f>
        <v/>
      </c>
      <c r="H835" s="15">
        <f>IF($G835&lt;&gt;"APARTADO","",IF(NOT(ISNUMBER($C835)),"FALTA LA HORA",IF($C835&lt;1,"FALTA LA FECHA",TEXT($C835+1,"dd/mm hh:mm"))))</f>
        <v/>
      </c>
    </row>
    <row r="836">
      <c r="A836" s="13" t="inlineStr">
        <is>
          <t>834</t>
        </is>
      </c>
      <c r="B836" t="inlineStr">
        <is>
          <t>LIBRE</t>
        </is>
      </c>
      <c r="C836" s="14" t="n"/>
      <c r="E836" s="15">
        <f>IF($G836&lt;&gt;"PAGADO","",IFERROR(IF(VLOOKUP($A836,COMPRADORES!$A:$D,4,FALSE)="NO","Reservado",LEFT(VLOOKUP($A836,COMPRADORES!$A:$D,2,FALSE),3)&amp;"***"&amp;IF(TRIM(MID(VLOOKUP($A836,COMPRADORES!$A:$D,2,FALSE)&amp;" ",FIND(" ",VLOOKUP($A836,COMPRADORES!$A:$D,2,FALSE)&amp;" ")+1,99))="",""," "&amp;LEFT(TRIM(MID(VLOOKUP($A836,COMPRADORES!$A:$D,2,FALSE)&amp;" ",FIND(" ",VLOOKUP($A836,COMPRADORES!$A:$D,2,FALSE)&amp;" ")+1,99)),1)&amp;".")),""))</f>
        <v/>
      </c>
      <c r="F836" s="16">
        <f>IF($B836="PAGADO",MID("ABCDEFGHIJ",INT(VALUE($A836)/100)+1,1)&amp;"-"&amp;$A836,"")</f>
        <v/>
      </c>
      <c r="G836" s="16">
        <f>IF($B836="PAGADO","PAGADO",IF($B836="APARTADO",IF(NOT(ISNUMBER($C836)),"APARTADO",IF($C836&lt;1,"APARTADO",IF(NOW()-$C836&gt;1,"LIBRE","APARTADO"))),"LIBRE"))</f>
        <v/>
      </c>
      <c r="H836" s="15">
        <f>IF($G836&lt;&gt;"APARTADO","",IF(NOT(ISNUMBER($C836)),"FALTA LA HORA",IF($C836&lt;1,"FALTA LA FECHA",TEXT($C836+1,"dd/mm hh:mm"))))</f>
        <v/>
      </c>
    </row>
    <row r="837">
      <c r="A837" s="13" t="inlineStr">
        <is>
          <t>835</t>
        </is>
      </c>
      <c r="B837" t="inlineStr">
        <is>
          <t>LIBRE</t>
        </is>
      </c>
      <c r="C837" s="14" t="n"/>
      <c r="E837" s="15">
        <f>IF($G837&lt;&gt;"PAGADO","",IFERROR(IF(VLOOKUP($A837,COMPRADORES!$A:$D,4,FALSE)="NO","Reservado",LEFT(VLOOKUP($A837,COMPRADORES!$A:$D,2,FALSE),3)&amp;"***"&amp;IF(TRIM(MID(VLOOKUP($A837,COMPRADORES!$A:$D,2,FALSE)&amp;" ",FIND(" ",VLOOKUP($A837,COMPRADORES!$A:$D,2,FALSE)&amp;" ")+1,99))="",""," "&amp;LEFT(TRIM(MID(VLOOKUP($A837,COMPRADORES!$A:$D,2,FALSE)&amp;" ",FIND(" ",VLOOKUP($A837,COMPRADORES!$A:$D,2,FALSE)&amp;" ")+1,99)),1)&amp;".")),""))</f>
        <v/>
      </c>
      <c r="F837" s="16">
        <f>IF($B837="PAGADO",MID("ABCDEFGHIJ",INT(VALUE($A837)/100)+1,1)&amp;"-"&amp;$A837,"")</f>
        <v/>
      </c>
      <c r="G837" s="16">
        <f>IF($B837="PAGADO","PAGADO",IF($B837="APARTADO",IF(NOT(ISNUMBER($C837)),"APARTADO",IF($C837&lt;1,"APARTADO",IF(NOW()-$C837&gt;1,"LIBRE","APARTADO"))),"LIBRE"))</f>
        <v/>
      </c>
      <c r="H837" s="15">
        <f>IF($G837&lt;&gt;"APARTADO","",IF(NOT(ISNUMBER($C837)),"FALTA LA HORA",IF($C837&lt;1,"FALTA LA FECHA",TEXT($C837+1,"dd/mm hh:mm"))))</f>
        <v/>
      </c>
    </row>
    <row r="838">
      <c r="A838" s="13" t="inlineStr">
        <is>
          <t>836</t>
        </is>
      </c>
      <c r="B838" t="inlineStr">
        <is>
          <t>LIBRE</t>
        </is>
      </c>
      <c r="C838" s="14" t="n"/>
      <c r="E838" s="15">
        <f>IF($G838&lt;&gt;"PAGADO","",IFERROR(IF(VLOOKUP($A838,COMPRADORES!$A:$D,4,FALSE)="NO","Reservado",LEFT(VLOOKUP($A838,COMPRADORES!$A:$D,2,FALSE),3)&amp;"***"&amp;IF(TRIM(MID(VLOOKUP($A838,COMPRADORES!$A:$D,2,FALSE)&amp;" ",FIND(" ",VLOOKUP($A838,COMPRADORES!$A:$D,2,FALSE)&amp;" ")+1,99))="",""," "&amp;LEFT(TRIM(MID(VLOOKUP($A838,COMPRADORES!$A:$D,2,FALSE)&amp;" ",FIND(" ",VLOOKUP($A838,COMPRADORES!$A:$D,2,FALSE)&amp;" ")+1,99)),1)&amp;".")),""))</f>
        <v/>
      </c>
      <c r="F838" s="16">
        <f>IF($B838="PAGADO",MID("ABCDEFGHIJ",INT(VALUE($A838)/100)+1,1)&amp;"-"&amp;$A838,"")</f>
        <v/>
      </c>
      <c r="G838" s="16">
        <f>IF($B838="PAGADO","PAGADO",IF($B838="APARTADO",IF(NOT(ISNUMBER($C838)),"APARTADO",IF($C838&lt;1,"APARTADO",IF(NOW()-$C838&gt;1,"LIBRE","APARTADO"))),"LIBRE"))</f>
        <v/>
      </c>
      <c r="H838" s="15">
        <f>IF($G838&lt;&gt;"APARTADO","",IF(NOT(ISNUMBER($C838)),"FALTA LA HORA",IF($C838&lt;1,"FALTA LA FECHA",TEXT($C838+1,"dd/mm hh:mm"))))</f>
        <v/>
      </c>
    </row>
    <row r="839">
      <c r="A839" s="13" t="inlineStr">
        <is>
          <t>837</t>
        </is>
      </c>
      <c r="B839" t="inlineStr">
        <is>
          <t>LIBRE</t>
        </is>
      </c>
      <c r="C839" s="14" t="n"/>
      <c r="E839" s="15">
        <f>IF($G839&lt;&gt;"PAGADO","",IFERROR(IF(VLOOKUP($A839,COMPRADORES!$A:$D,4,FALSE)="NO","Reservado",LEFT(VLOOKUP($A839,COMPRADORES!$A:$D,2,FALSE),3)&amp;"***"&amp;IF(TRIM(MID(VLOOKUP($A839,COMPRADORES!$A:$D,2,FALSE)&amp;" ",FIND(" ",VLOOKUP($A839,COMPRADORES!$A:$D,2,FALSE)&amp;" ")+1,99))="",""," "&amp;LEFT(TRIM(MID(VLOOKUP($A839,COMPRADORES!$A:$D,2,FALSE)&amp;" ",FIND(" ",VLOOKUP($A839,COMPRADORES!$A:$D,2,FALSE)&amp;" ")+1,99)),1)&amp;".")),""))</f>
        <v/>
      </c>
      <c r="F839" s="16">
        <f>IF($B839="PAGADO",MID("ABCDEFGHIJ",INT(VALUE($A839)/100)+1,1)&amp;"-"&amp;$A839,"")</f>
        <v/>
      </c>
      <c r="G839" s="16">
        <f>IF($B839="PAGADO","PAGADO",IF($B839="APARTADO",IF(NOT(ISNUMBER($C839)),"APARTADO",IF($C839&lt;1,"APARTADO",IF(NOW()-$C839&gt;1,"LIBRE","APARTADO"))),"LIBRE"))</f>
        <v/>
      </c>
      <c r="H839" s="15">
        <f>IF($G839&lt;&gt;"APARTADO","",IF(NOT(ISNUMBER($C839)),"FALTA LA HORA",IF($C839&lt;1,"FALTA LA FECHA",TEXT($C839+1,"dd/mm hh:mm"))))</f>
        <v/>
      </c>
    </row>
    <row r="840">
      <c r="A840" s="13" t="inlineStr">
        <is>
          <t>838</t>
        </is>
      </c>
      <c r="B840" t="inlineStr">
        <is>
          <t>LIBRE</t>
        </is>
      </c>
      <c r="C840" s="14" t="n"/>
      <c r="E840" s="15">
        <f>IF($G840&lt;&gt;"PAGADO","",IFERROR(IF(VLOOKUP($A840,COMPRADORES!$A:$D,4,FALSE)="NO","Reservado",LEFT(VLOOKUP($A840,COMPRADORES!$A:$D,2,FALSE),3)&amp;"***"&amp;IF(TRIM(MID(VLOOKUP($A840,COMPRADORES!$A:$D,2,FALSE)&amp;" ",FIND(" ",VLOOKUP($A840,COMPRADORES!$A:$D,2,FALSE)&amp;" ")+1,99))="",""," "&amp;LEFT(TRIM(MID(VLOOKUP($A840,COMPRADORES!$A:$D,2,FALSE)&amp;" ",FIND(" ",VLOOKUP($A840,COMPRADORES!$A:$D,2,FALSE)&amp;" ")+1,99)),1)&amp;".")),""))</f>
        <v/>
      </c>
      <c r="F840" s="16">
        <f>IF($B840="PAGADO",MID("ABCDEFGHIJ",INT(VALUE($A840)/100)+1,1)&amp;"-"&amp;$A840,"")</f>
        <v/>
      </c>
      <c r="G840" s="16">
        <f>IF($B840="PAGADO","PAGADO",IF($B840="APARTADO",IF(NOT(ISNUMBER($C840)),"APARTADO",IF($C840&lt;1,"APARTADO",IF(NOW()-$C840&gt;1,"LIBRE","APARTADO"))),"LIBRE"))</f>
        <v/>
      </c>
      <c r="H840" s="15">
        <f>IF($G840&lt;&gt;"APARTADO","",IF(NOT(ISNUMBER($C840)),"FALTA LA HORA",IF($C840&lt;1,"FALTA LA FECHA",TEXT($C840+1,"dd/mm hh:mm"))))</f>
        <v/>
      </c>
    </row>
    <row r="841">
      <c r="A841" s="13" t="inlineStr">
        <is>
          <t>839</t>
        </is>
      </c>
      <c r="B841" t="inlineStr">
        <is>
          <t>LIBRE</t>
        </is>
      </c>
      <c r="C841" s="14" t="n"/>
      <c r="E841" s="15">
        <f>IF($G841&lt;&gt;"PAGADO","",IFERROR(IF(VLOOKUP($A841,COMPRADORES!$A:$D,4,FALSE)="NO","Reservado",LEFT(VLOOKUP($A841,COMPRADORES!$A:$D,2,FALSE),3)&amp;"***"&amp;IF(TRIM(MID(VLOOKUP($A841,COMPRADORES!$A:$D,2,FALSE)&amp;" ",FIND(" ",VLOOKUP($A841,COMPRADORES!$A:$D,2,FALSE)&amp;" ")+1,99))="",""," "&amp;LEFT(TRIM(MID(VLOOKUP($A841,COMPRADORES!$A:$D,2,FALSE)&amp;" ",FIND(" ",VLOOKUP($A841,COMPRADORES!$A:$D,2,FALSE)&amp;" ")+1,99)),1)&amp;".")),""))</f>
        <v/>
      </c>
      <c r="F841" s="16">
        <f>IF($B841="PAGADO",MID("ABCDEFGHIJ",INT(VALUE($A841)/100)+1,1)&amp;"-"&amp;$A841,"")</f>
        <v/>
      </c>
      <c r="G841" s="16">
        <f>IF($B841="PAGADO","PAGADO",IF($B841="APARTADO",IF(NOT(ISNUMBER($C841)),"APARTADO",IF($C841&lt;1,"APARTADO",IF(NOW()-$C841&gt;1,"LIBRE","APARTADO"))),"LIBRE"))</f>
        <v/>
      </c>
      <c r="H841" s="15">
        <f>IF($G841&lt;&gt;"APARTADO","",IF(NOT(ISNUMBER($C841)),"FALTA LA HORA",IF($C841&lt;1,"FALTA LA FECHA",TEXT($C841+1,"dd/mm hh:mm"))))</f>
        <v/>
      </c>
    </row>
    <row r="842">
      <c r="A842" s="13" t="inlineStr">
        <is>
          <t>840</t>
        </is>
      </c>
      <c r="B842" t="inlineStr">
        <is>
          <t>LIBRE</t>
        </is>
      </c>
      <c r="C842" s="14" t="n"/>
      <c r="E842" s="15">
        <f>IF($G842&lt;&gt;"PAGADO","",IFERROR(IF(VLOOKUP($A842,COMPRADORES!$A:$D,4,FALSE)="NO","Reservado",LEFT(VLOOKUP($A842,COMPRADORES!$A:$D,2,FALSE),3)&amp;"***"&amp;IF(TRIM(MID(VLOOKUP($A842,COMPRADORES!$A:$D,2,FALSE)&amp;" ",FIND(" ",VLOOKUP($A842,COMPRADORES!$A:$D,2,FALSE)&amp;" ")+1,99))="",""," "&amp;LEFT(TRIM(MID(VLOOKUP($A842,COMPRADORES!$A:$D,2,FALSE)&amp;" ",FIND(" ",VLOOKUP($A842,COMPRADORES!$A:$D,2,FALSE)&amp;" ")+1,99)),1)&amp;".")),""))</f>
        <v/>
      </c>
      <c r="F842" s="16">
        <f>IF($B842="PAGADO",MID("ABCDEFGHIJ",INT(VALUE($A842)/100)+1,1)&amp;"-"&amp;$A842,"")</f>
        <v/>
      </c>
      <c r="G842" s="16">
        <f>IF($B842="PAGADO","PAGADO",IF($B842="APARTADO",IF(NOT(ISNUMBER($C842)),"APARTADO",IF($C842&lt;1,"APARTADO",IF(NOW()-$C842&gt;1,"LIBRE","APARTADO"))),"LIBRE"))</f>
        <v/>
      </c>
      <c r="H842" s="15">
        <f>IF($G842&lt;&gt;"APARTADO","",IF(NOT(ISNUMBER($C842)),"FALTA LA HORA",IF($C842&lt;1,"FALTA LA FECHA",TEXT($C842+1,"dd/mm hh:mm"))))</f>
        <v/>
      </c>
    </row>
    <row r="843">
      <c r="A843" s="13" t="inlineStr">
        <is>
          <t>841</t>
        </is>
      </c>
      <c r="B843" t="inlineStr">
        <is>
          <t>LIBRE</t>
        </is>
      </c>
      <c r="C843" s="14" t="n"/>
      <c r="E843" s="15">
        <f>IF($G843&lt;&gt;"PAGADO","",IFERROR(IF(VLOOKUP($A843,COMPRADORES!$A:$D,4,FALSE)="NO","Reservado",LEFT(VLOOKUP($A843,COMPRADORES!$A:$D,2,FALSE),3)&amp;"***"&amp;IF(TRIM(MID(VLOOKUP($A843,COMPRADORES!$A:$D,2,FALSE)&amp;" ",FIND(" ",VLOOKUP($A843,COMPRADORES!$A:$D,2,FALSE)&amp;" ")+1,99))="",""," "&amp;LEFT(TRIM(MID(VLOOKUP($A843,COMPRADORES!$A:$D,2,FALSE)&amp;" ",FIND(" ",VLOOKUP($A843,COMPRADORES!$A:$D,2,FALSE)&amp;" ")+1,99)),1)&amp;".")),""))</f>
        <v/>
      </c>
      <c r="F843" s="16">
        <f>IF($B843="PAGADO",MID("ABCDEFGHIJ",INT(VALUE($A843)/100)+1,1)&amp;"-"&amp;$A843,"")</f>
        <v/>
      </c>
      <c r="G843" s="16">
        <f>IF($B843="PAGADO","PAGADO",IF($B843="APARTADO",IF(NOT(ISNUMBER($C843)),"APARTADO",IF($C843&lt;1,"APARTADO",IF(NOW()-$C843&gt;1,"LIBRE","APARTADO"))),"LIBRE"))</f>
        <v/>
      </c>
      <c r="H843" s="15">
        <f>IF($G843&lt;&gt;"APARTADO","",IF(NOT(ISNUMBER($C843)),"FALTA LA HORA",IF($C843&lt;1,"FALTA LA FECHA",TEXT($C843+1,"dd/mm hh:mm"))))</f>
        <v/>
      </c>
    </row>
    <row r="844">
      <c r="A844" s="13" t="inlineStr">
        <is>
          <t>842</t>
        </is>
      </c>
      <c r="B844" t="inlineStr">
        <is>
          <t>LIBRE</t>
        </is>
      </c>
      <c r="C844" s="14" t="n"/>
      <c r="E844" s="15">
        <f>IF($G844&lt;&gt;"PAGADO","",IFERROR(IF(VLOOKUP($A844,COMPRADORES!$A:$D,4,FALSE)="NO","Reservado",LEFT(VLOOKUP($A844,COMPRADORES!$A:$D,2,FALSE),3)&amp;"***"&amp;IF(TRIM(MID(VLOOKUP($A844,COMPRADORES!$A:$D,2,FALSE)&amp;" ",FIND(" ",VLOOKUP($A844,COMPRADORES!$A:$D,2,FALSE)&amp;" ")+1,99))="",""," "&amp;LEFT(TRIM(MID(VLOOKUP($A844,COMPRADORES!$A:$D,2,FALSE)&amp;" ",FIND(" ",VLOOKUP($A844,COMPRADORES!$A:$D,2,FALSE)&amp;" ")+1,99)),1)&amp;".")),""))</f>
        <v/>
      </c>
      <c r="F844" s="16">
        <f>IF($B844="PAGADO",MID("ABCDEFGHIJ",INT(VALUE($A844)/100)+1,1)&amp;"-"&amp;$A844,"")</f>
        <v/>
      </c>
      <c r="G844" s="16">
        <f>IF($B844="PAGADO","PAGADO",IF($B844="APARTADO",IF(NOT(ISNUMBER($C844)),"APARTADO",IF($C844&lt;1,"APARTADO",IF(NOW()-$C844&gt;1,"LIBRE","APARTADO"))),"LIBRE"))</f>
        <v/>
      </c>
      <c r="H844" s="15">
        <f>IF($G844&lt;&gt;"APARTADO","",IF(NOT(ISNUMBER($C844)),"FALTA LA HORA",IF($C844&lt;1,"FALTA LA FECHA",TEXT($C844+1,"dd/mm hh:mm"))))</f>
        <v/>
      </c>
    </row>
    <row r="845">
      <c r="A845" s="13" t="inlineStr">
        <is>
          <t>843</t>
        </is>
      </c>
      <c r="B845" t="inlineStr">
        <is>
          <t>LIBRE</t>
        </is>
      </c>
      <c r="C845" s="14" t="n"/>
      <c r="E845" s="15">
        <f>IF($G845&lt;&gt;"PAGADO","",IFERROR(IF(VLOOKUP($A845,COMPRADORES!$A:$D,4,FALSE)="NO","Reservado",LEFT(VLOOKUP($A845,COMPRADORES!$A:$D,2,FALSE),3)&amp;"***"&amp;IF(TRIM(MID(VLOOKUP($A845,COMPRADORES!$A:$D,2,FALSE)&amp;" ",FIND(" ",VLOOKUP($A845,COMPRADORES!$A:$D,2,FALSE)&amp;" ")+1,99))="",""," "&amp;LEFT(TRIM(MID(VLOOKUP($A845,COMPRADORES!$A:$D,2,FALSE)&amp;" ",FIND(" ",VLOOKUP($A845,COMPRADORES!$A:$D,2,FALSE)&amp;" ")+1,99)),1)&amp;".")),""))</f>
        <v/>
      </c>
      <c r="F845" s="16">
        <f>IF($B845="PAGADO",MID("ABCDEFGHIJ",INT(VALUE($A845)/100)+1,1)&amp;"-"&amp;$A845,"")</f>
        <v/>
      </c>
      <c r="G845" s="16">
        <f>IF($B845="PAGADO","PAGADO",IF($B845="APARTADO",IF(NOT(ISNUMBER($C845)),"APARTADO",IF($C845&lt;1,"APARTADO",IF(NOW()-$C845&gt;1,"LIBRE","APARTADO"))),"LIBRE"))</f>
        <v/>
      </c>
      <c r="H845" s="15">
        <f>IF($G845&lt;&gt;"APARTADO","",IF(NOT(ISNUMBER($C845)),"FALTA LA HORA",IF($C845&lt;1,"FALTA LA FECHA",TEXT($C845+1,"dd/mm hh:mm"))))</f>
        <v/>
      </c>
    </row>
    <row r="846">
      <c r="A846" s="13" t="inlineStr">
        <is>
          <t>844</t>
        </is>
      </c>
      <c r="B846" t="inlineStr">
        <is>
          <t>LIBRE</t>
        </is>
      </c>
      <c r="C846" s="14" t="n"/>
      <c r="E846" s="15">
        <f>IF($G846&lt;&gt;"PAGADO","",IFERROR(IF(VLOOKUP($A846,COMPRADORES!$A:$D,4,FALSE)="NO","Reservado",LEFT(VLOOKUP($A846,COMPRADORES!$A:$D,2,FALSE),3)&amp;"***"&amp;IF(TRIM(MID(VLOOKUP($A846,COMPRADORES!$A:$D,2,FALSE)&amp;" ",FIND(" ",VLOOKUP($A846,COMPRADORES!$A:$D,2,FALSE)&amp;" ")+1,99))="",""," "&amp;LEFT(TRIM(MID(VLOOKUP($A846,COMPRADORES!$A:$D,2,FALSE)&amp;" ",FIND(" ",VLOOKUP($A846,COMPRADORES!$A:$D,2,FALSE)&amp;" ")+1,99)),1)&amp;".")),""))</f>
        <v/>
      </c>
      <c r="F846" s="16">
        <f>IF($B846="PAGADO",MID("ABCDEFGHIJ",INT(VALUE($A846)/100)+1,1)&amp;"-"&amp;$A846,"")</f>
        <v/>
      </c>
      <c r="G846" s="16">
        <f>IF($B846="PAGADO","PAGADO",IF($B846="APARTADO",IF(NOT(ISNUMBER($C846)),"APARTADO",IF($C846&lt;1,"APARTADO",IF(NOW()-$C846&gt;1,"LIBRE","APARTADO"))),"LIBRE"))</f>
        <v/>
      </c>
      <c r="H846" s="15">
        <f>IF($G846&lt;&gt;"APARTADO","",IF(NOT(ISNUMBER($C846)),"FALTA LA HORA",IF($C846&lt;1,"FALTA LA FECHA",TEXT($C846+1,"dd/mm hh:mm"))))</f>
        <v/>
      </c>
    </row>
    <row r="847">
      <c r="A847" s="13" t="inlineStr">
        <is>
          <t>845</t>
        </is>
      </c>
      <c r="B847" t="inlineStr">
        <is>
          <t>LIBRE</t>
        </is>
      </c>
      <c r="C847" s="14" t="n"/>
      <c r="E847" s="15">
        <f>IF($G847&lt;&gt;"PAGADO","",IFERROR(IF(VLOOKUP($A847,COMPRADORES!$A:$D,4,FALSE)="NO","Reservado",LEFT(VLOOKUP($A847,COMPRADORES!$A:$D,2,FALSE),3)&amp;"***"&amp;IF(TRIM(MID(VLOOKUP($A847,COMPRADORES!$A:$D,2,FALSE)&amp;" ",FIND(" ",VLOOKUP($A847,COMPRADORES!$A:$D,2,FALSE)&amp;" ")+1,99))="",""," "&amp;LEFT(TRIM(MID(VLOOKUP($A847,COMPRADORES!$A:$D,2,FALSE)&amp;" ",FIND(" ",VLOOKUP($A847,COMPRADORES!$A:$D,2,FALSE)&amp;" ")+1,99)),1)&amp;".")),""))</f>
        <v/>
      </c>
      <c r="F847" s="16">
        <f>IF($B847="PAGADO",MID("ABCDEFGHIJ",INT(VALUE($A847)/100)+1,1)&amp;"-"&amp;$A847,"")</f>
        <v/>
      </c>
      <c r="G847" s="16">
        <f>IF($B847="PAGADO","PAGADO",IF($B847="APARTADO",IF(NOT(ISNUMBER($C847)),"APARTADO",IF($C847&lt;1,"APARTADO",IF(NOW()-$C847&gt;1,"LIBRE","APARTADO"))),"LIBRE"))</f>
        <v/>
      </c>
      <c r="H847" s="15">
        <f>IF($G847&lt;&gt;"APARTADO","",IF(NOT(ISNUMBER($C847)),"FALTA LA HORA",IF($C847&lt;1,"FALTA LA FECHA",TEXT($C847+1,"dd/mm hh:mm"))))</f>
        <v/>
      </c>
    </row>
    <row r="848">
      <c r="A848" s="13" t="inlineStr">
        <is>
          <t>846</t>
        </is>
      </c>
      <c r="B848" t="inlineStr">
        <is>
          <t>LIBRE</t>
        </is>
      </c>
      <c r="C848" s="14" t="n"/>
      <c r="E848" s="15">
        <f>IF($G848&lt;&gt;"PAGADO","",IFERROR(IF(VLOOKUP($A848,COMPRADORES!$A:$D,4,FALSE)="NO","Reservado",LEFT(VLOOKUP($A848,COMPRADORES!$A:$D,2,FALSE),3)&amp;"***"&amp;IF(TRIM(MID(VLOOKUP($A848,COMPRADORES!$A:$D,2,FALSE)&amp;" ",FIND(" ",VLOOKUP($A848,COMPRADORES!$A:$D,2,FALSE)&amp;" ")+1,99))="",""," "&amp;LEFT(TRIM(MID(VLOOKUP($A848,COMPRADORES!$A:$D,2,FALSE)&amp;" ",FIND(" ",VLOOKUP($A848,COMPRADORES!$A:$D,2,FALSE)&amp;" ")+1,99)),1)&amp;".")),""))</f>
        <v/>
      </c>
      <c r="F848" s="16">
        <f>IF($B848="PAGADO",MID("ABCDEFGHIJ",INT(VALUE($A848)/100)+1,1)&amp;"-"&amp;$A848,"")</f>
        <v/>
      </c>
      <c r="G848" s="16">
        <f>IF($B848="PAGADO","PAGADO",IF($B848="APARTADO",IF(NOT(ISNUMBER($C848)),"APARTADO",IF($C848&lt;1,"APARTADO",IF(NOW()-$C848&gt;1,"LIBRE","APARTADO"))),"LIBRE"))</f>
        <v/>
      </c>
      <c r="H848" s="15">
        <f>IF($G848&lt;&gt;"APARTADO","",IF(NOT(ISNUMBER($C848)),"FALTA LA HORA",IF($C848&lt;1,"FALTA LA FECHA",TEXT($C848+1,"dd/mm hh:mm"))))</f>
        <v/>
      </c>
    </row>
    <row r="849">
      <c r="A849" s="13" t="inlineStr">
        <is>
          <t>847</t>
        </is>
      </c>
      <c r="B849" t="inlineStr">
        <is>
          <t>LIBRE</t>
        </is>
      </c>
      <c r="C849" s="14" t="n"/>
      <c r="E849" s="15">
        <f>IF($G849&lt;&gt;"PAGADO","",IFERROR(IF(VLOOKUP($A849,COMPRADORES!$A:$D,4,FALSE)="NO","Reservado",LEFT(VLOOKUP($A849,COMPRADORES!$A:$D,2,FALSE),3)&amp;"***"&amp;IF(TRIM(MID(VLOOKUP($A849,COMPRADORES!$A:$D,2,FALSE)&amp;" ",FIND(" ",VLOOKUP($A849,COMPRADORES!$A:$D,2,FALSE)&amp;" ")+1,99))="",""," "&amp;LEFT(TRIM(MID(VLOOKUP($A849,COMPRADORES!$A:$D,2,FALSE)&amp;" ",FIND(" ",VLOOKUP($A849,COMPRADORES!$A:$D,2,FALSE)&amp;" ")+1,99)),1)&amp;".")),""))</f>
        <v/>
      </c>
      <c r="F849" s="16">
        <f>IF($B849="PAGADO",MID("ABCDEFGHIJ",INT(VALUE($A849)/100)+1,1)&amp;"-"&amp;$A849,"")</f>
        <v/>
      </c>
      <c r="G849" s="16">
        <f>IF($B849="PAGADO","PAGADO",IF($B849="APARTADO",IF(NOT(ISNUMBER($C849)),"APARTADO",IF($C849&lt;1,"APARTADO",IF(NOW()-$C849&gt;1,"LIBRE","APARTADO"))),"LIBRE"))</f>
        <v/>
      </c>
      <c r="H849" s="15">
        <f>IF($G849&lt;&gt;"APARTADO","",IF(NOT(ISNUMBER($C849)),"FALTA LA HORA",IF($C849&lt;1,"FALTA LA FECHA",TEXT($C849+1,"dd/mm hh:mm"))))</f>
        <v/>
      </c>
    </row>
    <row r="850">
      <c r="A850" s="13" t="inlineStr">
        <is>
          <t>848</t>
        </is>
      </c>
      <c r="B850" t="inlineStr">
        <is>
          <t>LIBRE</t>
        </is>
      </c>
      <c r="C850" s="14" t="n"/>
      <c r="E850" s="15">
        <f>IF($G850&lt;&gt;"PAGADO","",IFERROR(IF(VLOOKUP($A850,COMPRADORES!$A:$D,4,FALSE)="NO","Reservado",LEFT(VLOOKUP($A850,COMPRADORES!$A:$D,2,FALSE),3)&amp;"***"&amp;IF(TRIM(MID(VLOOKUP($A850,COMPRADORES!$A:$D,2,FALSE)&amp;" ",FIND(" ",VLOOKUP($A850,COMPRADORES!$A:$D,2,FALSE)&amp;" ")+1,99))="",""," "&amp;LEFT(TRIM(MID(VLOOKUP($A850,COMPRADORES!$A:$D,2,FALSE)&amp;" ",FIND(" ",VLOOKUP($A850,COMPRADORES!$A:$D,2,FALSE)&amp;" ")+1,99)),1)&amp;".")),""))</f>
        <v/>
      </c>
      <c r="F850" s="16">
        <f>IF($B850="PAGADO",MID("ABCDEFGHIJ",INT(VALUE($A850)/100)+1,1)&amp;"-"&amp;$A850,"")</f>
        <v/>
      </c>
      <c r="G850" s="16">
        <f>IF($B850="PAGADO","PAGADO",IF($B850="APARTADO",IF(NOT(ISNUMBER($C850)),"APARTADO",IF($C850&lt;1,"APARTADO",IF(NOW()-$C850&gt;1,"LIBRE","APARTADO"))),"LIBRE"))</f>
        <v/>
      </c>
      <c r="H850" s="15">
        <f>IF($G850&lt;&gt;"APARTADO","",IF(NOT(ISNUMBER($C850)),"FALTA LA HORA",IF($C850&lt;1,"FALTA LA FECHA",TEXT($C850+1,"dd/mm hh:mm"))))</f>
        <v/>
      </c>
    </row>
    <row r="851">
      <c r="A851" s="13" t="inlineStr">
        <is>
          <t>849</t>
        </is>
      </c>
      <c r="B851" t="inlineStr">
        <is>
          <t>LIBRE</t>
        </is>
      </c>
      <c r="C851" s="14" t="n"/>
      <c r="E851" s="15">
        <f>IF($G851&lt;&gt;"PAGADO","",IFERROR(IF(VLOOKUP($A851,COMPRADORES!$A:$D,4,FALSE)="NO","Reservado",LEFT(VLOOKUP($A851,COMPRADORES!$A:$D,2,FALSE),3)&amp;"***"&amp;IF(TRIM(MID(VLOOKUP($A851,COMPRADORES!$A:$D,2,FALSE)&amp;" ",FIND(" ",VLOOKUP($A851,COMPRADORES!$A:$D,2,FALSE)&amp;" ")+1,99))="",""," "&amp;LEFT(TRIM(MID(VLOOKUP($A851,COMPRADORES!$A:$D,2,FALSE)&amp;" ",FIND(" ",VLOOKUP($A851,COMPRADORES!$A:$D,2,FALSE)&amp;" ")+1,99)),1)&amp;".")),""))</f>
        <v/>
      </c>
      <c r="F851" s="16">
        <f>IF($B851="PAGADO",MID("ABCDEFGHIJ",INT(VALUE($A851)/100)+1,1)&amp;"-"&amp;$A851,"")</f>
        <v/>
      </c>
      <c r="G851" s="16">
        <f>IF($B851="PAGADO","PAGADO",IF($B851="APARTADO",IF(NOT(ISNUMBER($C851)),"APARTADO",IF($C851&lt;1,"APARTADO",IF(NOW()-$C851&gt;1,"LIBRE","APARTADO"))),"LIBRE"))</f>
        <v/>
      </c>
      <c r="H851" s="15">
        <f>IF($G851&lt;&gt;"APARTADO","",IF(NOT(ISNUMBER($C851)),"FALTA LA HORA",IF($C851&lt;1,"FALTA LA FECHA",TEXT($C851+1,"dd/mm hh:mm"))))</f>
        <v/>
      </c>
    </row>
    <row r="852">
      <c r="A852" s="13" t="inlineStr">
        <is>
          <t>850</t>
        </is>
      </c>
      <c r="B852" t="inlineStr">
        <is>
          <t>LIBRE</t>
        </is>
      </c>
      <c r="C852" s="14" t="n"/>
      <c r="E852" s="15">
        <f>IF($G852&lt;&gt;"PAGADO","",IFERROR(IF(VLOOKUP($A852,COMPRADORES!$A:$D,4,FALSE)="NO","Reservado",LEFT(VLOOKUP($A852,COMPRADORES!$A:$D,2,FALSE),3)&amp;"***"&amp;IF(TRIM(MID(VLOOKUP($A852,COMPRADORES!$A:$D,2,FALSE)&amp;" ",FIND(" ",VLOOKUP($A852,COMPRADORES!$A:$D,2,FALSE)&amp;" ")+1,99))="",""," "&amp;LEFT(TRIM(MID(VLOOKUP($A852,COMPRADORES!$A:$D,2,FALSE)&amp;" ",FIND(" ",VLOOKUP($A852,COMPRADORES!$A:$D,2,FALSE)&amp;" ")+1,99)),1)&amp;".")),""))</f>
        <v/>
      </c>
      <c r="F852" s="16">
        <f>IF($B852="PAGADO",MID("ABCDEFGHIJ",INT(VALUE($A852)/100)+1,1)&amp;"-"&amp;$A852,"")</f>
        <v/>
      </c>
      <c r="G852" s="16">
        <f>IF($B852="PAGADO","PAGADO",IF($B852="APARTADO",IF(NOT(ISNUMBER($C852)),"APARTADO",IF($C852&lt;1,"APARTADO",IF(NOW()-$C852&gt;1,"LIBRE","APARTADO"))),"LIBRE"))</f>
        <v/>
      </c>
      <c r="H852" s="15">
        <f>IF($G852&lt;&gt;"APARTADO","",IF(NOT(ISNUMBER($C852)),"FALTA LA HORA",IF($C852&lt;1,"FALTA LA FECHA",TEXT($C852+1,"dd/mm hh:mm"))))</f>
        <v/>
      </c>
    </row>
    <row r="853">
      <c r="A853" s="13" t="inlineStr">
        <is>
          <t>851</t>
        </is>
      </c>
      <c r="B853" t="inlineStr">
        <is>
          <t>LIBRE</t>
        </is>
      </c>
      <c r="C853" s="14" t="n"/>
      <c r="E853" s="15">
        <f>IF($G853&lt;&gt;"PAGADO","",IFERROR(IF(VLOOKUP($A853,COMPRADORES!$A:$D,4,FALSE)="NO","Reservado",LEFT(VLOOKUP($A853,COMPRADORES!$A:$D,2,FALSE),3)&amp;"***"&amp;IF(TRIM(MID(VLOOKUP($A853,COMPRADORES!$A:$D,2,FALSE)&amp;" ",FIND(" ",VLOOKUP($A853,COMPRADORES!$A:$D,2,FALSE)&amp;" ")+1,99))="",""," "&amp;LEFT(TRIM(MID(VLOOKUP($A853,COMPRADORES!$A:$D,2,FALSE)&amp;" ",FIND(" ",VLOOKUP($A853,COMPRADORES!$A:$D,2,FALSE)&amp;" ")+1,99)),1)&amp;".")),""))</f>
        <v/>
      </c>
      <c r="F853" s="16">
        <f>IF($B853="PAGADO",MID("ABCDEFGHIJ",INT(VALUE($A853)/100)+1,1)&amp;"-"&amp;$A853,"")</f>
        <v/>
      </c>
      <c r="G853" s="16">
        <f>IF($B853="PAGADO","PAGADO",IF($B853="APARTADO",IF(NOT(ISNUMBER($C853)),"APARTADO",IF($C853&lt;1,"APARTADO",IF(NOW()-$C853&gt;1,"LIBRE","APARTADO"))),"LIBRE"))</f>
        <v/>
      </c>
      <c r="H853" s="15">
        <f>IF($G853&lt;&gt;"APARTADO","",IF(NOT(ISNUMBER($C853)),"FALTA LA HORA",IF($C853&lt;1,"FALTA LA FECHA",TEXT($C853+1,"dd/mm hh:mm"))))</f>
        <v/>
      </c>
    </row>
    <row r="854">
      <c r="A854" s="13" t="inlineStr">
        <is>
          <t>852</t>
        </is>
      </c>
      <c r="B854" t="inlineStr">
        <is>
          <t>LIBRE</t>
        </is>
      </c>
      <c r="C854" s="14" t="n"/>
      <c r="E854" s="15">
        <f>IF($G854&lt;&gt;"PAGADO","",IFERROR(IF(VLOOKUP($A854,COMPRADORES!$A:$D,4,FALSE)="NO","Reservado",LEFT(VLOOKUP($A854,COMPRADORES!$A:$D,2,FALSE),3)&amp;"***"&amp;IF(TRIM(MID(VLOOKUP($A854,COMPRADORES!$A:$D,2,FALSE)&amp;" ",FIND(" ",VLOOKUP($A854,COMPRADORES!$A:$D,2,FALSE)&amp;" ")+1,99))="",""," "&amp;LEFT(TRIM(MID(VLOOKUP($A854,COMPRADORES!$A:$D,2,FALSE)&amp;" ",FIND(" ",VLOOKUP($A854,COMPRADORES!$A:$D,2,FALSE)&amp;" ")+1,99)),1)&amp;".")),""))</f>
        <v/>
      </c>
      <c r="F854" s="16">
        <f>IF($B854="PAGADO",MID("ABCDEFGHIJ",INT(VALUE($A854)/100)+1,1)&amp;"-"&amp;$A854,"")</f>
        <v/>
      </c>
      <c r="G854" s="16">
        <f>IF($B854="PAGADO","PAGADO",IF($B854="APARTADO",IF(NOT(ISNUMBER($C854)),"APARTADO",IF($C854&lt;1,"APARTADO",IF(NOW()-$C854&gt;1,"LIBRE","APARTADO"))),"LIBRE"))</f>
        <v/>
      </c>
      <c r="H854" s="15">
        <f>IF($G854&lt;&gt;"APARTADO","",IF(NOT(ISNUMBER($C854)),"FALTA LA HORA",IF($C854&lt;1,"FALTA LA FECHA",TEXT($C854+1,"dd/mm hh:mm"))))</f>
        <v/>
      </c>
    </row>
    <row r="855">
      <c r="A855" s="13" t="inlineStr">
        <is>
          <t>853</t>
        </is>
      </c>
      <c r="B855" t="inlineStr">
        <is>
          <t>LIBRE</t>
        </is>
      </c>
      <c r="C855" s="14" t="n"/>
      <c r="E855" s="15">
        <f>IF($G855&lt;&gt;"PAGADO","",IFERROR(IF(VLOOKUP($A855,COMPRADORES!$A:$D,4,FALSE)="NO","Reservado",LEFT(VLOOKUP($A855,COMPRADORES!$A:$D,2,FALSE),3)&amp;"***"&amp;IF(TRIM(MID(VLOOKUP($A855,COMPRADORES!$A:$D,2,FALSE)&amp;" ",FIND(" ",VLOOKUP($A855,COMPRADORES!$A:$D,2,FALSE)&amp;" ")+1,99))="",""," "&amp;LEFT(TRIM(MID(VLOOKUP($A855,COMPRADORES!$A:$D,2,FALSE)&amp;" ",FIND(" ",VLOOKUP($A855,COMPRADORES!$A:$D,2,FALSE)&amp;" ")+1,99)),1)&amp;".")),""))</f>
        <v/>
      </c>
      <c r="F855" s="16">
        <f>IF($B855="PAGADO",MID("ABCDEFGHIJ",INT(VALUE($A855)/100)+1,1)&amp;"-"&amp;$A855,"")</f>
        <v/>
      </c>
      <c r="G855" s="16">
        <f>IF($B855="PAGADO","PAGADO",IF($B855="APARTADO",IF(NOT(ISNUMBER($C855)),"APARTADO",IF($C855&lt;1,"APARTADO",IF(NOW()-$C855&gt;1,"LIBRE","APARTADO"))),"LIBRE"))</f>
        <v/>
      </c>
      <c r="H855" s="15">
        <f>IF($G855&lt;&gt;"APARTADO","",IF(NOT(ISNUMBER($C855)),"FALTA LA HORA",IF($C855&lt;1,"FALTA LA FECHA",TEXT($C855+1,"dd/mm hh:mm"))))</f>
        <v/>
      </c>
    </row>
    <row r="856">
      <c r="A856" s="13" t="inlineStr">
        <is>
          <t>854</t>
        </is>
      </c>
      <c r="B856" t="inlineStr">
        <is>
          <t>LIBRE</t>
        </is>
      </c>
      <c r="C856" s="14" t="n"/>
      <c r="E856" s="15">
        <f>IF($G856&lt;&gt;"PAGADO","",IFERROR(IF(VLOOKUP($A856,COMPRADORES!$A:$D,4,FALSE)="NO","Reservado",LEFT(VLOOKUP($A856,COMPRADORES!$A:$D,2,FALSE),3)&amp;"***"&amp;IF(TRIM(MID(VLOOKUP($A856,COMPRADORES!$A:$D,2,FALSE)&amp;" ",FIND(" ",VLOOKUP($A856,COMPRADORES!$A:$D,2,FALSE)&amp;" ")+1,99))="",""," "&amp;LEFT(TRIM(MID(VLOOKUP($A856,COMPRADORES!$A:$D,2,FALSE)&amp;" ",FIND(" ",VLOOKUP($A856,COMPRADORES!$A:$D,2,FALSE)&amp;" ")+1,99)),1)&amp;".")),""))</f>
        <v/>
      </c>
      <c r="F856" s="16">
        <f>IF($B856="PAGADO",MID("ABCDEFGHIJ",INT(VALUE($A856)/100)+1,1)&amp;"-"&amp;$A856,"")</f>
        <v/>
      </c>
      <c r="G856" s="16">
        <f>IF($B856="PAGADO","PAGADO",IF($B856="APARTADO",IF(NOT(ISNUMBER($C856)),"APARTADO",IF($C856&lt;1,"APARTADO",IF(NOW()-$C856&gt;1,"LIBRE","APARTADO"))),"LIBRE"))</f>
        <v/>
      </c>
      <c r="H856" s="15">
        <f>IF($G856&lt;&gt;"APARTADO","",IF(NOT(ISNUMBER($C856)),"FALTA LA HORA",IF($C856&lt;1,"FALTA LA FECHA",TEXT($C856+1,"dd/mm hh:mm"))))</f>
        <v/>
      </c>
    </row>
    <row r="857">
      <c r="A857" s="13" t="inlineStr">
        <is>
          <t>855</t>
        </is>
      </c>
      <c r="B857" t="inlineStr">
        <is>
          <t>LIBRE</t>
        </is>
      </c>
      <c r="C857" s="14" t="n"/>
      <c r="E857" s="15">
        <f>IF($G857&lt;&gt;"PAGADO","",IFERROR(IF(VLOOKUP($A857,COMPRADORES!$A:$D,4,FALSE)="NO","Reservado",LEFT(VLOOKUP($A857,COMPRADORES!$A:$D,2,FALSE),3)&amp;"***"&amp;IF(TRIM(MID(VLOOKUP($A857,COMPRADORES!$A:$D,2,FALSE)&amp;" ",FIND(" ",VLOOKUP($A857,COMPRADORES!$A:$D,2,FALSE)&amp;" ")+1,99))="",""," "&amp;LEFT(TRIM(MID(VLOOKUP($A857,COMPRADORES!$A:$D,2,FALSE)&amp;" ",FIND(" ",VLOOKUP($A857,COMPRADORES!$A:$D,2,FALSE)&amp;" ")+1,99)),1)&amp;".")),""))</f>
        <v/>
      </c>
      <c r="F857" s="16">
        <f>IF($B857="PAGADO",MID("ABCDEFGHIJ",INT(VALUE($A857)/100)+1,1)&amp;"-"&amp;$A857,"")</f>
        <v/>
      </c>
      <c r="G857" s="16">
        <f>IF($B857="PAGADO","PAGADO",IF($B857="APARTADO",IF(NOT(ISNUMBER($C857)),"APARTADO",IF($C857&lt;1,"APARTADO",IF(NOW()-$C857&gt;1,"LIBRE","APARTADO"))),"LIBRE"))</f>
        <v/>
      </c>
      <c r="H857" s="15">
        <f>IF($G857&lt;&gt;"APARTADO","",IF(NOT(ISNUMBER($C857)),"FALTA LA HORA",IF($C857&lt;1,"FALTA LA FECHA",TEXT($C857+1,"dd/mm hh:mm"))))</f>
        <v/>
      </c>
    </row>
    <row r="858">
      <c r="A858" s="13" t="inlineStr">
        <is>
          <t>856</t>
        </is>
      </c>
      <c r="B858" t="inlineStr">
        <is>
          <t>LIBRE</t>
        </is>
      </c>
      <c r="C858" s="14" t="n"/>
      <c r="E858" s="15">
        <f>IF($G858&lt;&gt;"PAGADO","",IFERROR(IF(VLOOKUP($A858,COMPRADORES!$A:$D,4,FALSE)="NO","Reservado",LEFT(VLOOKUP($A858,COMPRADORES!$A:$D,2,FALSE),3)&amp;"***"&amp;IF(TRIM(MID(VLOOKUP($A858,COMPRADORES!$A:$D,2,FALSE)&amp;" ",FIND(" ",VLOOKUP($A858,COMPRADORES!$A:$D,2,FALSE)&amp;" ")+1,99))="",""," "&amp;LEFT(TRIM(MID(VLOOKUP($A858,COMPRADORES!$A:$D,2,FALSE)&amp;" ",FIND(" ",VLOOKUP($A858,COMPRADORES!$A:$D,2,FALSE)&amp;" ")+1,99)),1)&amp;".")),""))</f>
        <v/>
      </c>
      <c r="F858" s="16">
        <f>IF($B858="PAGADO",MID("ABCDEFGHIJ",INT(VALUE($A858)/100)+1,1)&amp;"-"&amp;$A858,"")</f>
        <v/>
      </c>
      <c r="G858" s="16">
        <f>IF($B858="PAGADO","PAGADO",IF($B858="APARTADO",IF(NOT(ISNUMBER($C858)),"APARTADO",IF($C858&lt;1,"APARTADO",IF(NOW()-$C858&gt;1,"LIBRE","APARTADO"))),"LIBRE"))</f>
        <v/>
      </c>
      <c r="H858" s="15">
        <f>IF($G858&lt;&gt;"APARTADO","",IF(NOT(ISNUMBER($C858)),"FALTA LA HORA",IF($C858&lt;1,"FALTA LA FECHA",TEXT($C858+1,"dd/mm hh:mm"))))</f>
        <v/>
      </c>
    </row>
    <row r="859">
      <c r="A859" s="13" t="inlineStr">
        <is>
          <t>857</t>
        </is>
      </c>
      <c r="B859" t="inlineStr">
        <is>
          <t>LIBRE</t>
        </is>
      </c>
      <c r="C859" s="14" t="n"/>
      <c r="E859" s="15">
        <f>IF($G859&lt;&gt;"PAGADO","",IFERROR(IF(VLOOKUP($A859,COMPRADORES!$A:$D,4,FALSE)="NO","Reservado",LEFT(VLOOKUP($A859,COMPRADORES!$A:$D,2,FALSE),3)&amp;"***"&amp;IF(TRIM(MID(VLOOKUP($A859,COMPRADORES!$A:$D,2,FALSE)&amp;" ",FIND(" ",VLOOKUP($A859,COMPRADORES!$A:$D,2,FALSE)&amp;" ")+1,99))="",""," "&amp;LEFT(TRIM(MID(VLOOKUP($A859,COMPRADORES!$A:$D,2,FALSE)&amp;" ",FIND(" ",VLOOKUP($A859,COMPRADORES!$A:$D,2,FALSE)&amp;" ")+1,99)),1)&amp;".")),""))</f>
        <v/>
      </c>
      <c r="F859" s="16">
        <f>IF($B859="PAGADO",MID("ABCDEFGHIJ",INT(VALUE($A859)/100)+1,1)&amp;"-"&amp;$A859,"")</f>
        <v/>
      </c>
      <c r="G859" s="16">
        <f>IF($B859="PAGADO","PAGADO",IF($B859="APARTADO",IF(NOT(ISNUMBER($C859)),"APARTADO",IF($C859&lt;1,"APARTADO",IF(NOW()-$C859&gt;1,"LIBRE","APARTADO"))),"LIBRE"))</f>
        <v/>
      </c>
      <c r="H859" s="15">
        <f>IF($G859&lt;&gt;"APARTADO","",IF(NOT(ISNUMBER($C859)),"FALTA LA HORA",IF($C859&lt;1,"FALTA LA FECHA",TEXT($C859+1,"dd/mm hh:mm"))))</f>
        <v/>
      </c>
    </row>
    <row r="860">
      <c r="A860" s="13" t="inlineStr">
        <is>
          <t>858</t>
        </is>
      </c>
      <c r="B860" t="inlineStr">
        <is>
          <t>LIBRE</t>
        </is>
      </c>
      <c r="C860" s="14" t="n"/>
      <c r="E860" s="15">
        <f>IF($G860&lt;&gt;"PAGADO","",IFERROR(IF(VLOOKUP($A860,COMPRADORES!$A:$D,4,FALSE)="NO","Reservado",LEFT(VLOOKUP($A860,COMPRADORES!$A:$D,2,FALSE),3)&amp;"***"&amp;IF(TRIM(MID(VLOOKUP($A860,COMPRADORES!$A:$D,2,FALSE)&amp;" ",FIND(" ",VLOOKUP($A860,COMPRADORES!$A:$D,2,FALSE)&amp;" ")+1,99))="",""," "&amp;LEFT(TRIM(MID(VLOOKUP($A860,COMPRADORES!$A:$D,2,FALSE)&amp;" ",FIND(" ",VLOOKUP($A860,COMPRADORES!$A:$D,2,FALSE)&amp;" ")+1,99)),1)&amp;".")),""))</f>
        <v/>
      </c>
      <c r="F860" s="16">
        <f>IF($B860="PAGADO",MID("ABCDEFGHIJ",INT(VALUE($A860)/100)+1,1)&amp;"-"&amp;$A860,"")</f>
        <v/>
      </c>
      <c r="G860" s="16">
        <f>IF($B860="PAGADO","PAGADO",IF($B860="APARTADO",IF(NOT(ISNUMBER($C860)),"APARTADO",IF($C860&lt;1,"APARTADO",IF(NOW()-$C860&gt;1,"LIBRE","APARTADO"))),"LIBRE"))</f>
        <v/>
      </c>
      <c r="H860" s="15">
        <f>IF($G860&lt;&gt;"APARTADO","",IF(NOT(ISNUMBER($C860)),"FALTA LA HORA",IF($C860&lt;1,"FALTA LA FECHA",TEXT($C860+1,"dd/mm hh:mm"))))</f>
        <v/>
      </c>
    </row>
    <row r="861">
      <c r="A861" s="13" t="inlineStr">
        <is>
          <t>859</t>
        </is>
      </c>
      <c r="B861" t="inlineStr">
        <is>
          <t>LIBRE</t>
        </is>
      </c>
      <c r="C861" s="14" t="n"/>
      <c r="E861" s="15">
        <f>IF($G861&lt;&gt;"PAGADO","",IFERROR(IF(VLOOKUP($A861,COMPRADORES!$A:$D,4,FALSE)="NO","Reservado",LEFT(VLOOKUP($A861,COMPRADORES!$A:$D,2,FALSE),3)&amp;"***"&amp;IF(TRIM(MID(VLOOKUP($A861,COMPRADORES!$A:$D,2,FALSE)&amp;" ",FIND(" ",VLOOKUP($A861,COMPRADORES!$A:$D,2,FALSE)&amp;" ")+1,99))="",""," "&amp;LEFT(TRIM(MID(VLOOKUP($A861,COMPRADORES!$A:$D,2,FALSE)&amp;" ",FIND(" ",VLOOKUP($A861,COMPRADORES!$A:$D,2,FALSE)&amp;" ")+1,99)),1)&amp;".")),""))</f>
        <v/>
      </c>
      <c r="F861" s="16">
        <f>IF($B861="PAGADO",MID("ABCDEFGHIJ",INT(VALUE($A861)/100)+1,1)&amp;"-"&amp;$A861,"")</f>
        <v/>
      </c>
      <c r="G861" s="16">
        <f>IF($B861="PAGADO","PAGADO",IF($B861="APARTADO",IF(NOT(ISNUMBER($C861)),"APARTADO",IF($C861&lt;1,"APARTADO",IF(NOW()-$C861&gt;1,"LIBRE","APARTADO"))),"LIBRE"))</f>
        <v/>
      </c>
      <c r="H861" s="15">
        <f>IF($G861&lt;&gt;"APARTADO","",IF(NOT(ISNUMBER($C861)),"FALTA LA HORA",IF($C861&lt;1,"FALTA LA FECHA",TEXT($C861+1,"dd/mm hh:mm"))))</f>
        <v/>
      </c>
    </row>
    <row r="862">
      <c r="A862" s="13" t="inlineStr">
        <is>
          <t>860</t>
        </is>
      </c>
      <c r="B862" t="inlineStr">
        <is>
          <t>LIBRE</t>
        </is>
      </c>
      <c r="C862" s="14" t="n"/>
      <c r="E862" s="15">
        <f>IF($G862&lt;&gt;"PAGADO","",IFERROR(IF(VLOOKUP($A862,COMPRADORES!$A:$D,4,FALSE)="NO","Reservado",LEFT(VLOOKUP($A862,COMPRADORES!$A:$D,2,FALSE),3)&amp;"***"&amp;IF(TRIM(MID(VLOOKUP($A862,COMPRADORES!$A:$D,2,FALSE)&amp;" ",FIND(" ",VLOOKUP($A862,COMPRADORES!$A:$D,2,FALSE)&amp;" ")+1,99))="",""," "&amp;LEFT(TRIM(MID(VLOOKUP($A862,COMPRADORES!$A:$D,2,FALSE)&amp;" ",FIND(" ",VLOOKUP($A862,COMPRADORES!$A:$D,2,FALSE)&amp;" ")+1,99)),1)&amp;".")),""))</f>
        <v/>
      </c>
      <c r="F862" s="16">
        <f>IF($B862="PAGADO",MID("ABCDEFGHIJ",INT(VALUE($A862)/100)+1,1)&amp;"-"&amp;$A862,"")</f>
        <v/>
      </c>
      <c r="G862" s="16">
        <f>IF($B862="PAGADO","PAGADO",IF($B862="APARTADO",IF(NOT(ISNUMBER($C862)),"APARTADO",IF($C862&lt;1,"APARTADO",IF(NOW()-$C862&gt;1,"LIBRE","APARTADO"))),"LIBRE"))</f>
        <v/>
      </c>
      <c r="H862" s="15">
        <f>IF($G862&lt;&gt;"APARTADO","",IF(NOT(ISNUMBER($C862)),"FALTA LA HORA",IF($C862&lt;1,"FALTA LA FECHA",TEXT($C862+1,"dd/mm hh:mm"))))</f>
        <v/>
      </c>
    </row>
    <row r="863">
      <c r="A863" s="13" t="inlineStr">
        <is>
          <t>861</t>
        </is>
      </c>
      <c r="B863" t="inlineStr">
        <is>
          <t>LIBRE</t>
        </is>
      </c>
      <c r="C863" s="14" t="n"/>
      <c r="E863" s="15">
        <f>IF($G863&lt;&gt;"PAGADO","",IFERROR(IF(VLOOKUP($A863,COMPRADORES!$A:$D,4,FALSE)="NO","Reservado",LEFT(VLOOKUP($A863,COMPRADORES!$A:$D,2,FALSE),3)&amp;"***"&amp;IF(TRIM(MID(VLOOKUP($A863,COMPRADORES!$A:$D,2,FALSE)&amp;" ",FIND(" ",VLOOKUP($A863,COMPRADORES!$A:$D,2,FALSE)&amp;" ")+1,99))="",""," "&amp;LEFT(TRIM(MID(VLOOKUP($A863,COMPRADORES!$A:$D,2,FALSE)&amp;" ",FIND(" ",VLOOKUP($A863,COMPRADORES!$A:$D,2,FALSE)&amp;" ")+1,99)),1)&amp;".")),""))</f>
        <v/>
      </c>
      <c r="F863" s="16">
        <f>IF($B863="PAGADO",MID("ABCDEFGHIJ",INT(VALUE($A863)/100)+1,1)&amp;"-"&amp;$A863,"")</f>
        <v/>
      </c>
      <c r="G863" s="16">
        <f>IF($B863="PAGADO","PAGADO",IF($B863="APARTADO",IF(NOT(ISNUMBER($C863)),"APARTADO",IF($C863&lt;1,"APARTADO",IF(NOW()-$C863&gt;1,"LIBRE","APARTADO"))),"LIBRE"))</f>
        <v/>
      </c>
      <c r="H863" s="15">
        <f>IF($G863&lt;&gt;"APARTADO","",IF(NOT(ISNUMBER($C863)),"FALTA LA HORA",IF($C863&lt;1,"FALTA LA FECHA",TEXT($C863+1,"dd/mm hh:mm"))))</f>
        <v/>
      </c>
    </row>
    <row r="864">
      <c r="A864" s="13" t="inlineStr">
        <is>
          <t>862</t>
        </is>
      </c>
      <c r="B864" t="inlineStr">
        <is>
          <t>LIBRE</t>
        </is>
      </c>
      <c r="C864" s="14" t="n"/>
      <c r="E864" s="15">
        <f>IF($G864&lt;&gt;"PAGADO","",IFERROR(IF(VLOOKUP($A864,COMPRADORES!$A:$D,4,FALSE)="NO","Reservado",LEFT(VLOOKUP($A864,COMPRADORES!$A:$D,2,FALSE),3)&amp;"***"&amp;IF(TRIM(MID(VLOOKUP($A864,COMPRADORES!$A:$D,2,FALSE)&amp;" ",FIND(" ",VLOOKUP($A864,COMPRADORES!$A:$D,2,FALSE)&amp;" ")+1,99))="",""," "&amp;LEFT(TRIM(MID(VLOOKUP($A864,COMPRADORES!$A:$D,2,FALSE)&amp;" ",FIND(" ",VLOOKUP($A864,COMPRADORES!$A:$D,2,FALSE)&amp;" ")+1,99)),1)&amp;".")),""))</f>
        <v/>
      </c>
      <c r="F864" s="16">
        <f>IF($B864="PAGADO",MID("ABCDEFGHIJ",INT(VALUE($A864)/100)+1,1)&amp;"-"&amp;$A864,"")</f>
        <v/>
      </c>
      <c r="G864" s="16">
        <f>IF($B864="PAGADO","PAGADO",IF($B864="APARTADO",IF(NOT(ISNUMBER($C864)),"APARTADO",IF($C864&lt;1,"APARTADO",IF(NOW()-$C864&gt;1,"LIBRE","APARTADO"))),"LIBRE"))</f>
        <v/>
      </c>
      <c r="H864" s="15">
        <f>IF($G864&lt;&gt;"APARTADO","",IF(NOT(ISNUMBER($C864)),"FALTA LA HORA",IF($C864&lt;1,"FALTA LA FECHA",TEXT($C864+1,"dd/mm hh:mm"))))</f>
        <v/>
      </c>
    </row>
    <row r="865">
      <c r="A865" s="13" t="inlineStr">
        <is>
          <t>863</t>
        </is>
      </c>
      <c r="B865" t="inlineStr">
        <is>
          <t>LIBRE</t>
        </is>
      </c>
      <c r="C865" s="14" t="n"/>
      <c r="E865" s="15">
        <f>IF($G865&lt;&gt;"PAGADO","",IFERROR(IF(VLOOKUP($A865,COMPRADORES!$A:$D,4,FALSE)="NO","Reservado",LEFT(VLOOKUP($A865,COMPRADORES!$A:$D,2,FALSE),3)&amp;"***"&amp;IF(TRIM(MID(VLOOKUP($A865,COMPRADORES!$A:$D,2,FALSE)&amp;" ",FIND(" ",VLOOKUP($A865,COMPRADORES!$A:$D,2,FALSE)&amp;" ")+1,99))="",""," "&amp;LEFT(TRIM(MID(VLOOKUP($A865,COMPRADORES!$A:$D,2,FALSE)&amp;" ",FIND(" ",VLOOKUP($A865,COMPRADORES!$A:$D,2,FALSE)&amp;" ")+1,99)),1)&amp;".")),""))</f>
        <v/>
      </c>
      <c r="F865" s="16">
        <f>IF($B865="PAGADO",MID("ABCDEFGHIJ",INT(VALUE($A865)/100)+1,1)&amp;"-"&amp;$A865,"")</f>
        <v/>
      </c>
      <c r="G865" s="16">
        <f>IF($B865="PAGADO","PAGADO",IF($B865="APARTADO",IF(NOT(ISNUMBER($C865)),"APARTADO",IF($C865&lt;1,"APARTADO",IF(NOW()-$C865&gt;1,"LIBRE","APARTADO"))),"LIBRE"))</f>
        <v/>
      </c>
      <c r="H865" s="15">
        <f>IF($G865&lt;&gt;"APARTADO","",IF(NOT(ISNUMBER($C865)),"FALTA LA HORA",IF($C865&lt;1,"FALTA LA FECHA",TEXT($C865+1,"dd/mm hh:mm"))))</f>
        <v/>
      </c>
    </row>
    <row r="866">
      <c r="A866" s="13" t="inlineStr">
        <is>
          <t>864</t>
        </is>
      </c>
      <c r="B866" t="inlineStr">
        <is>
          <t>LIBRE</t>
        </is>
      </c>
      <c r="C866" s="14" t="n"/>
      <c r="E866" s="15">
        <f>IF($G866&lt;&gt;"PAGADO","",IFERROR(IF(VLOOKUP($A866,COMPRADORES!$A:$D,4,FALSE)="NO","Reservado",LEFT(VLOOKUP($A866,COMPRADORES!$A:$D,2,FALSE),3)&amp;"***"&amp;IF(TRIM(MID(VLOOKUP($A866,COMPRADORES!$A:$D,2,FALSE)&amp;" ",FIND(" ",VLOOKUP($A866,COMPRADORES!$A:$D,2,FALSE)&amp;" ")+1,99))="",""," "&amp;LEFT(TRIM(MID(VLOOKUP($A866,COMPRADORES!$A:$D,2,FALSE)&amp;" ",FIND(" ",VLOOKUP($A866,COMPRADORES!$A:$D,2,FALSE)&amp;" ")+1,99)),1)&amp;".")),""))</f>
        <v/>
      </c>
      <c r="F866" s="16">
        <f>IF($B866="PAGADO",MID("ABCDEFGHIJ",INT(VALUE($A866)/100)+1,1)&amp;"-"&amp;$A866,"")</f>
        <v/>
      </c>
      <c r="G866" s="16">
        <f>IF($B866="PAGADO","PAGADO",IF($B866="APARTADO",IF(NOT(ISNUMBER($C866)),"APARTADO",IF($C866&lt;1,"APARTADO",IF(NOW()-$C866&gt;1,"LIBRE","APARTADO"))),"LIBRE"))</f>
        <v/>
      </c>
      <c r="H866" s="15">
        <f>IF($G866&lt;&gt;"APARTADO","",IF(NOT(ISNUMBER($C866)),"FALTA LA HORA",IF($C866&lt;1,"FALTA LA FECHA",TEXT($C866+1,"dd/mm hh:mm"))))</f>
        <v/>
      </c>
    </row>
    <row r="867">
      <c r="A867" s="13" t="inlineStr">
        <is>
          <t>865</t>
        </is>
      </c>
      <c r="B867" t="inlineStr">
        <is>
          <t>LIBRE</t>
        </is>
      </c>
      <c r="C867" s="14" t="n"/>
      <c r="E867" s="15">
        <f>IF($G867&lt;&gt;"PAGADO","",IFERROR(IF(VLOOKUP($A867,COMPRADORES!$A:$D,4,FALSE)="NO","Reservado",LEFT(VLOOKUP($A867,COMPRADORES!$A:$D,2,FALSE),3)&amp;"***"&amp;IF(TRIM(MID(VLOOKUP($A867,COMPRADORES!$A:$D,2,FALSE)&amp;" ",FIND(" ",VLOOKUP($A867,COMPRADORES!$A:$D,2,FALSE)&amp;" ")+1,99))="",""," "&amp;LEFT(TRIM(MID(VLOOKUP($A867,COMPRADORES!$A:$D,2,FALSE)&amp;" ",FIND(" ",VLOOKUP($A867,COMPRADORES!$A:$D,2,FALSE)&amp;" ")+1,99)),1)&amp;".")),""))</f>
        <v/>
      </c>
      <c r="F867" s="16">
        <f>IF($B867="PAGADO",MID("ABCDEFGHIJ",INT(VALUE($A867)/100)+1,1)&amp;"-"&amp;$A867,"")</f>
        <v/>
      </c>
      <c r="G867" s="16">
        <f>IF($B867="PAGADO","PAGADO",IF($B867="APARTADO",IF(NOT(ISNUMBER($C867)),"APARTADO",IF($C867&lt;1,"APARTADO",IF(NOW()-$C867&gt;1,"LIBRE","APARTADO"))),"LIBRE"))</f>
        <v/>
      </c>
      <c r="H867" s="15">
        <f>IF($G867&lt;&gt;"APARTADO","",IF(NOT(ISNUMBER($C867)),"FALTA LA HORA",IF($C867&lt;1,"FALTA LA FECHA",TEXT($C867+1,"dd/mm hh:mm"))))</f>
        <v/>
      </c>
    </row>
    <row r="868">
      <c r="A868" s="13" t="inlineStr">
        <is>
          <t>866</t>
        </is>
      </c>
      <c r="B868" t="inlineStr">
        <is>
          <t>LIBRE</t>
        </is>
      </c>
      <c r="C868" s="14" t="n"/>
      <c r="E868" s="15">
        <f>IF($G868&lt;&gt;"PAGADO","",IFERROR(IF(VLOOKUP($A868,COMPRADORES!$A:$D,4,FALSE)="NO","Reservado",LEFT(VLOOKUP($A868,COMPRADORES!$A:$D,2,FALSE),3)&amp;"***"&amp;IF(TRIM(MID(VLOOKUP($A868,COMPRADORES!$A:$D,2,FALSE)&amp;" ",FIND(" ",VLOOKUP($A868,COMPRADORES!$A:$D,2,FALSE)&amp;" ")+1,99))="",""," "&amp;LEFT(TRIM(MID(VLOOKUP($A868,COMPRADORES!$A:$D,2,FALSE)&amp;" ",FIND(" ",VLOOKUP($A868,COMPRADORES!$A:$D,2,FALSE)&amp;" ")+1,99)),1)&amp;".")),""))</f>
        <v/>
      </c>
      <c r="F868" s="16">
        <f>IF($B868="PAGADO",MID("ABCDEFGHIJ",INT(VALUE($A868)/100)+1,1)&amp;"-"&amp;$A868,"")</f>
        <v/>
      </c>
      <c r="G868" s="16">
        <f>IF($B868="PAGADO","PAGADO",IF($B868="APARTADO",IF(NOT(ISNUMBER($C868)),"APARTADO",IF($C868&lt;1,"APARTADO",IF(NOW()-$C868&gt;1,"LIBRE","APARTADO"))),"LIBRE"))</f>
        <v/>
      </c>
      <c r="H868" s="15">
        <f>IF($G868&lt;&gt;"APARTADO","",IF(NOT(ISNUMBER($C868)),"FALTA LA HORA",IF($C868&lt;1,"FALTA LA FECHA",TEXT($C868+1,"dd/mm hh:mm"))))</f>
        <v/>
      </c>
    </row>
    <row r="869">
      <c r="A869" s="13" t="inlineStr">
        <is>
          <t>867</t>
        </is>
      </c>
      <c r="B869" t="inlineStr">
        <is>
          <t>LIBRE</t>
        </is>
      </c>
      <c r="C869" s="14" t="n"/>
      <c r="E869" s="15">
        <f>IF($G869&lt;&gt;"PAGADO","",IFERROR(IF(VLOOKUP($A869,COMPRADORES!$A:$D,4,FALSE)="NO","Reservado",LEFT(VLOOKUP($A869,COMPRADORES!$A:$D,2,FALSE),3)&amp;"***"&amp;IF(TRIM(MID(VLOOKUP($A869,COMPRADORES!$A:$D,2,FALSE)&amp;" ",FIND(" ",VLOOKUP($A869,COMPRADORES!$A:$D,2,FALSE)&amp;" ")+1,99))="",""," "&amp;LEFT(TRIM(MID(VLOOKUP($A869,COMPRADORES!$A:$D,2,FALSE)&amp;" ",FIND(" ",VLOOKUP($A869,COMPRADORES!$A:$D,2,FALSE)&amp;" ")+1,99)),1)&amp;".")),""))</f>
        <v/>
      </c>
      <c r="F869" s="16">
        <f>IF($B869="PAGADO",MID("ABCDEFGHIJ",INT(VALUE($A869)/100)+1,1)&amp;"-"&amp;$A869,"")</f>
        <v/>
      </c>
      <c r="G869" s="16">
        <f>IF($B869="PAGADO","PAGADO",IF($B869="APARTADO",IF(NOT(ISNUMBER($C869)),"APARTADO",IF($C869&lt;1,"APARTADO",IF(NOW()-$C869&gt;1,"LIBRE","APARTADO"))),"LIBRE"))</f>
        <v/>
      </c>
      <c r="H869" s="15">
        <f>IF($G869&lt;&gt;"APARTADO","",IF(NOT(ISNUMBER($C869)),"FALTA LA HORA",IF($C869&lt;1,"FALTA LA FECHA",TEXT($C869+1,"dd/mm hh:mm"))))</f>
        <v/>
      </c>
    </row>
    <row r="870">
      <c r="A870" s="13" t="inlineStr">
        <is>
          <t>868</t>
        </is>
      </c>
      <c r="B870" t="inlineStr">
        <is>
          <t>LIBRE</t>
        </is>
      </c>
      <c r="C870" s="14" t="n"/>
      <c r="E870" s="15">
        <f>IF($G870&lt;&gt;"PAGADO","",IFERROR(IF(VLOOKUP($A870,COMPRADORES!$A:$D,4,FALSE)="NO","Reservado",LEFT(VLOOKUP($A870,COMPRADORES!$A:$D,2,FALSE),3)&amp;"***"&amp;IF(TRIM(MID(VLOOKUP($A870,COMPRADORES!$A:$D,2,FALSE)&amp;" ",FIND(" ",VLOOKUP($A870,COMPRADORES!$A:$D,2,FALSE)&amp;" ")+1,99))="",""," "&amp;LEFT(TRIM(MID(VLOOKUP($A870,COMPRADORES!$A:$D,2,FALSE)&amp;" ",FIND(" ",VLOOKUP($A870,COMPRADORES!$A:$D,2,FALSE)&amp;" ")+1,99)),1)&amp;".")),""))</f>
        <v/>
      </c>
      <c r="F870" s="16">
        <f>IF($B870="PAGADO",MID("ABCDEFGHIJ",INT(VALUE($A870)/100)+1,1)&amp;"-"&amp;$A870,"")</f>
        <v/>
      </c>
      <c r="G870" s="16">
        <f>IF($B870="PAGADO","PAGADO",IF($B870="APARTADO",IF(NOT(ISNUMBER($C870)),"APARTADO",IF($C870&lt;1,"APARTADO",IF(NOW()-$C870&gt;1,"LIBRE","APARTADO"))),"LIBRE"))</f>
        <v/>
      </c>
      <c r="H870" s="15">
        <f>IF($G870&lt;&gt;"APARTADO","",IF(NOT(ISNUMBER($C870)),"FALTA LA HORA",IF($C870&lt;1,"FALTA LA FECHA",TEXT($C870+1,"dd/mm hh:mm"))))</f>
        <v/>
      </c>
    </row>
    <row r="871">
      <c r="A871" s="13" t="inlineStr">
        <is>
          <t>869</t>
        </is>
      </c>
      <c r="B871" t="inlineStr">
        <is>
          <t>LIBRE</t>
        </is>
      </c>
      <c r="C871" s="14" t="n"/>
      <c r="E871" s="15">
        <f>IF($G871&lt;&gt;"PAGADO","",IFERROR(IF(VLOOKUP($A871,COMPRADORES!$A:$D,4,FALSE)="NO","Reservado",LEFT(VLOOKUP($A871,COMPRADORES!$A:$D,2,FALSE),3)&amp;"***"&amp;IF(TRIM(MID(VLOOKUP($A871,COMPRADORES!$A:$D,2,FALSE)&amp;" ",FIND(" ",VLOOKUP($A871,COMPRADORES!$A:$D,2,FALSE)&amp;" ")+1,99))="",""," "&amp;LEFT(TRIM(MID(VLOOKUP($A871,COMPRADORES!$A:$D,2,FALSE)&amp;" ",FIND(" ",VLOOKUP($A871,COMPRADORES!$A:$D,2,FALSE)&amp;" ")+1,99)),1)&amp;".")),""))</f>
        <v/>
      </c>
      <c r="F871" s="16">
        <f>IF($B871="PAGADO",MID("ABCDEFGHIJ",INT(VALUE($A871)/100)+1,1)&amp;"-"&amp;$A871,"")</f>
        <v/>
      </c>
      <c r="G871" s="16">
        <f>IF($B871="PAGADO","PAGADO",IF($B871="APARTADO",IF(NOT(ISNUMBER($C871)),"APARTADO",IF($C871&lt;1,"APARTADO",IF(NOW()-$C871&gt;1,"LIBRE","APARTADO"))),"LIBRE"))</f>
        <v/>
      </c>
      <c r="H871" s="15">
        <f>IF($G871&lt;&gt;"APARTADO","",IF(NOT(ISNUMBER($C871)),"FALTA LA HORA",IF($C871&lt;1,"FALTA LA FECHA",TEXT($C871+1,"dd/mm hh:mm"))))</f>
        <v/>
      </c>
    </row>
    <row r="872">
      <c r="A872" s="13" t="inlineStr">
        <is>
          <t>870</t>
        </is>
      </c>
      <c r="B872" t="inlineStr">
        <is>
          <t>LIBRE</t>
        </is>
      </c>
      <c r="C872" s="14" t="n"/>
      <c r="E872" s="15">
        <f>IF($G872&lt;&gt;"PAGADO","",IFERROR(IF(VLOOKUP($A872,COMPRADORES!$A:$D,4,FALSE)="NO","Reservado",LEFT(VLOOKUP($A872,COMPRADORES!$A:$D,2,FALSE),3)&amp;"***"&amp;IF(TRIM(MID(VLOOKUP($A872,COMPRADORES!$A:$D,2,FALSE)&amp;" ",FIND(" ",VLOOKUP($A872,COMPRADORES!$A:$D,2,FALSE)&amp;" ")+1,99))="",""," "&amp;LEFT(TRIM(MID(VLOOKUP($A872,COMPRADORES!$A:$D,2,FALSE)&amp;" ",FIND(" ",VLOOKUP($A872,COMPRADORES!$A:$D,2,FALSE)&amp;" ")+1,99)),1)&amp;".")),""))</f>
        <v/>
      </c>
      <c r="F872" s="16">
        <f>IF($B872="PAGADO",MID("ABCDEFGHIJ",INT(VALUE($A872)/100)+1,1)&amp;"-"&amp;$A872,"")</f>
        <v/>
      </c>
      <c r="G872" s="16">
        <f>IF($B872="PAGADO","PAGADO",IF($B872="APARTADO",IF(NOT(ISNUMBER($C872)),"APARTADO",IF($C872&lt;1,"APARTADO",IF(NOW()-$C872&gt;1,"LIBRE","APARTADO"))),"LIBRE"))</f>
        <v/>
      </c>
      <c r="H872" s="15">
        <f>IF($G872&lt;&gt;"APARTADO","",IF(NOT(ISNUMBER($C872)),"FALTA LA HORA",IF($C872&lt;1,"FALTA LA FECHA",TEXT($C872+1,"dd/mm hh:mm"))))</f>
        <v/>
      </c>
    </row>
    <row r="873">
      <c r="A873" s="13" t="inlineStr">
        <is>
          <t>871</t>
        </is>
      </c>
      <c r="B873" t="inlineStr">
        <is>
          <t>LIBRE</t>
        </is>
      </c>
      <c r="C873" s="14" t="n"/>
      <c r="E873" s="15">
        <f>IF($G873&lt;&gt;"PAGADO","",IFERROR(IF(VLOOKUP($A873,COMPRADORES!$A:$D,4,FALSE)="NO","Reservado",LEFT(VLOOKUP($A873,COMPRADORES!$A:$D,2,FALSE),3)&amp;"***"&amp;IF(TRIM(MID(VLOOKUP($A873,COMPRADORES!$A:$D,2,FALSE)&amp;" ",FIND(" ",VLOOKUP($A873,COMPRADORES!$A:$D,2,FALSE)&amp;" ")+1,99))="",""," "&amp;LEFT(TRIM(MID(VLOOKUP($A873,COMPRADORES!$A:$D,2,FALSE)&amp;" ",FIND(" ",VLOOKUP($A873,COMPRADORES!$A:$D,2,FALSE)&amp;" ")+1,99)),1)&amp;".")),""))</f>
        <v/>
      </c>
      <c r="F873" s="16">
        <f>IF($B873="PAGADO",MID("ABCDEFGHIJ",INT(VALUE($A873)/100)+1,1)&amp;"-"&amp;$A873,"")</f>
        <v/>
      </c>
      <c r="G873" s="16">
        <f>IF($B873="PAGADO","PAGADO",IF($B873="APARTADO",IF(NOT(ISNUMBER($C873)),"APARTADO",IF($C873&lt;1,"APARTADO",IF(NOW()-$C873&gt;1,"LIBRE","APARTADO"))),"LIBRE"))</f>
        <v/>
      </c>
      <c r="H873" s="15">
        <f>IF($G873&lt;&gt;"APARTADO","",IF(NOT(ISNUMBER($C873)),"FALTA LA HORA",IF($C873&lt;1,"FALTA LA FECHA",TEXT($C873+1,"dd/mm hh:mm"))))</f>
        <v/>
      </c>
    </row>
    <row r="874">
      <c r="A874" s="13" t="inlineStr">
        <is>
          <t>872</t>
        </is>
      </c>
      <c r="B874" t="inlineStr">
        <is>
          <t>LIBRE</t>
        </is>
      </c>
      <c r="C874" s="14" t="n"/>
      <c r="E874" s="15">
        <f>IF($G874&lt;&gt;"PAGADO","",IFERROR(IF(VLOOKUP($A874,COMPRADORES!$A:$D,4,FALSE)="NO","Reservado",LEFT(VLOOKUP($A874,COMPRADORES!$A:$D,2,FALSE),3)&amp;"***"&amp;IF(TRIM(MID(VLOOKUP($A874,COMPRADORES!$A:$D,2,FALSE)&amp;" ",FIND(" ",VLOOKUP($A874,COMPRADORES!$A:$D,2,FALSE)&amp;" ")+1,99))="",""," "&amp;LEFT(TRIM(MID(VLOOKUP($A874,COMPRADORES!$A:$D,2,FALSE)&amp;" ",FIND(" ",VLOOKUP($A874,COMPRADORES!$A:$D,2,FALSE)&amp;" ")+1,99)),1)&amp;".")),""))</f>
        <v/>
      </c>
      <c r="F874" s="16">
        <f>IF($B874="PAGADO",MID("ABCDEFGHIJ",INT(VALUE($A874)/100)+1,1)&amp;"-"&amp;$A874,"")</f>
        <v/>
      </c>
      <c r="G874" s="16">
        <f>IF($B874="PAGADO","PAGADO",IF($B874="APARTADO",IF(NOT(ISNUMBER($C874)),"APARTADO",IF($C874&lt;1,"APARTADO",IF(NOW()-$C874&gt;1,"LIBRE","APARTADO"))),"LIBRE"))</f>
        <v/>
      </c>
      <c r="H874" s="15">
        <f>IF($G874&lt;&gt;"APARTADO","",IF(NOT(ISNUMBER($C874)),"FALTA LA HORA",IF($C874&lt;1,"FALTA LA FECHA",TEXT($C874+1,"dd/mm hh:mm"))))</f>
        <v/>
      </c>
    </row>
    <row r="875">
      <c r="A875" s="13" t="inlineStr">
        <is>
          <t>873</t>
        </is>
      </c>
      <c r="B875" t="inlineStr">
        <is>
          <t>LIBRE</t>
        </is>
      </c>
      <c r="C875" s="14" t="n"/>
      <c r="E875" s="15">
        <f>IF($G875&lt;&gt;"PAGADO","",IFERROR(IF(VLOOKUP($A875,COMPRADORES!$A:$D,4,FALSE)="NO","Reservado",LEFT(VLOOKUP($A875,COMPRADORES!$A:$D,2,FALSE),3)&amp;"***"&amp;IF(TRIM(MID(VLOOKUP($A875,COMPRADORES!$A:$D,2,FALSE)&amp;" ",FIND(" ",VLOOKUP($A875,COMPRADORES!$A:$D,2,FALSE)&amp;" ")+1,99))="",""," "&amp;LEFT(TRIM(MID(VLOOKUP($A875,COMPRADORES!$A:$D,2,FALSE)&amp;" ",FIND(" ",VLOOKUP($A875,COMPRADORES!$A:$D,2,FALSE)&amp;" ")+1,99)),1)&amp;".")),""))</f>
        <v/>
      </c>
      <c r="F875" s="16">
        <f>IF($B875="PAGADO",MID("ABCDEFGHIJ",INT(VALUE($A875)/100)+1,1)&amp;"-"&amp;$A875,"")</f>
        <v/>
      </c>
      <c r="G875" s="16">
        <f>IF($B875="PAGADO","PAGADO",IF($B875="APARTADO",IF(NOT(ISNUMBER($C875)),"APARTADO",IF($C875&lt;1,"APARTADO",IF(NOW()-$C875&gt;1,"LIBRE","APARTADO"))),"LIBRE"))</f>
        <v/>
      </c>
      <c r="H875" s="15">
        <f>IF($G875&lt;&gt;"APARTADO","",IF(NOT(ISNUMBER($C875)),"FALTA LA HORA",IF($C875&lt;1,"FALTA LA FECHA",TEXT($C875+1,"dd/mm hh:mm"))))</f>
        <v/>
      </c>
    </row>
    <row r="876">
      <c r="A876" s="13" t="inlineStr">
        <is>
          <t>874</t>
        </is>
      </c>
      <c r="B876" t="inlineStr">
        <is>
          <t>LIBRE</t>
        </is>
      </c>
      <c r="C876" s="14" t="n"/>
      <c r="E876" s="15">
        <f>IF($G876&lt;&gt;"PAGADO","",IFERROR(IF(VLOOKUP($A876,COMPRADORES!$A:$D,4,FALSE)="NO","Reservado",LEFT(VLOOKUP($A876,COMPRADORES!$A:$D,2,FALSE),3)&amp;"***"&amp;IF(TRIM(MID(VLOOKUP($A876,COMPRADORES!$A:$D,2,FALSE)&amp;" ",FIND(" ",VLOOKUP($A876,COMPRADORES!$A:$D,2,FALSE)&amp;" ")+1,99))="",""," "&amp;LEFT(TRIM(MID(VLOOKUP($A876,COMPRADORES!$A:$D,2,FALSE)&amp;" ",FIND(" ",VLOOKUP($A876,COMPRADORES!$A:$D,2,FALSE)&amp;" ")+1,99)),1)&amp;".")),""))</f>
        <v/>
      </c>
      <c r="F876" s="16">
        <f>IF($B876="PAGADO",MID("ABCDEFGHIJ",INT(VALUE($A876)/100)+1,1)&amp;"-"&amp;$A876,"")</f>
        <v/>
      </c>
      <c r="G876" s="16">
        <f>IF($B876="PAGADO","PAGADO",IF($B876="APARTADO",IF(NOT(ISNUMBER($C876)),"APARTADO",IF($C876&lt;1,"APARTADO",IF(NOW()-$C876&gt;1,"LIBRE","APARTADO"))),"LIBRE"))</f>
        <v/>
      </c>
      <c r="H876" s="15">
        <f>IF($G876&lt;&gt;"APARTADO","",IF(NOT(ISNUMBER($C876)),"FALTA LA HORA",IF($C876&lt;1,"FALTA LA FECHA",TEXT($C876+1,"dd/mm hh:mm"))))</f>
        <v/>
      </c>
    </row>
    <row r="877">
      <c r="A877" s="13" t="inlineStr">
        <is>
          <t>875</t>
        </is>
      </c>
      <c r="B877" t="inlineStr">
        <is>
          <t>LIBRE</t>
        </is>
      </c>
      <c r="C877" s="14" t="n"/>
      <c r="E877" s="15">
        <f>IF($G877&lt;&gt;"PAGADO","",IFERROR(IF(VLOOKUP($A877,COMPRADORES!$A:$D,4,FALSE)="NO","Reservado",LEFT(VLOOKUP($A877,COMPRADORES!$A:$D,2,FALSE),3)&amp;"***"&amp;IF(TRIM(MID(VLOOKUP($A877,COMPRADORES!$A:$D,2,FALSE)&amp;" ",FIND(" ",VLOOKUP($A877,COMPRADORES!$A:$D,2,FALSE)&amp;" ")+1,99))="",""," "&amp;LEFT(TRIM(MID(VLOOKUP($A877,COMPRADORES!$A:$D,2,FALSE)&amp;" ",FIND(" ",VLOOKUP($A877,COMPRADORES!$A:$D,2,FALSE)&amp;" ")+1,99)),1)&amp;".")),""))</f>
        <v/>
      </c>
      <c r="F877" s="16">
        <f>IF($B877="PAGADO",MID("ABCDEFGHIJ",INT(VALUE($A877)/100)+1,1)&amp;"-"&amp;$A877,"")</f>
        <v/>
      </c>
      <c r="G877" s="16">
        <f>IF($B877="PAGADO","PAGADO",IF($B877="APARTADO",IF(NOT(ISNUMBER($C877)),"APARTADO",IF($C877&lt;1,"APARTADO",IF(NOW()-$C877&gt;1,"LIBRE","APARTADO"))),"LIBRE"))</f>
        <v/>
      </c>
      <c r="H877" s="15">
        <f>IF($G877&lt;&gt;"APARTADO","",IF(NOT(ISNUMBER($C877)),"FALTA LA HORA",IF($C877&lt;1,"FALTA LA FECHA",TEXT($C877+1,"dd/mm hh:mm"))))</f>
        <v/>
      </c>
    </row>
    <row r="878">
      <c r="A878" s="13" t="inlineStr">
        <is>
          <t>876</t>
        </is>
      </c>
      <c r="B878" t="inlineStr">
        <is>
          <t>LIBRE</t>
        </is>
      </c>
      <c r="C878" s="14" t="n"/>
      <c r="E878" s="15">
        <f>IF($G878&lt;&gt;"PAGADO","",IFERROR(IF(VLOOKUP($A878,COMPRADORES!$A:$D,4,FALSE)="NO","Reservado",LEFT(VLOOKUP($A878,COMPRADORES!$A:$D,2,FALSE),3)&amp;"***"&amp;IF(TRIM(MID(VLOOKUP($A878,COMPRADORES!$A:$D,2,FALSE)&amp;" ",FIND(" ",VLOOKUP($A878,COMPRADORES!$A:$D,2,FALSE)&amp;" ")+1,99))="",""," "&amp;LEFT(TRIM(MID(VLOOKUP($A878,COMPRADORES!$A:$D,2,FALSE)&amp;" ",FIND(" ",VLOOKUP($A878,COMPRADORES!$A:$D,2,FALSE)&amp;" ")+1,99)),1)&amp;".")),""))</f>
        <v/>
      </c>
      <c r="F878" s="16">
        <f>IF($B878="PAGADO",MID("ABCDEFGHIJ",INT(VALUE($A878)/100)+1,1)&amp;"-"&amp;$A878,"")</f>
        <v/>
      </c>
      <c r="G878" s="16">
        <f>IF($B878="PAGADO","PAGADO",IF($B878="APARTADO",IF(NOT(ISNUMBER($C878)),"APARTADO",IF($C878&lt;1,"APARTADO",IF(NOW()-$C878&gt;1,"LIBRE","APARTADO"))),"LIBRE"))</f>
        <v/>
      </c>
      <c r="H878" s="15">
        <f>IF($G878&lt;&gt;"APARTADO","",IF(NOT(ISNUMBER($C878)),"FALTA LA HORA",IF($C878&lt;1,"FALTA LA FECHA",TEXT($C878+1,"dd/mm hh:mm"))))</f>
        <v/>
      </c>
    </row>
    <row r="879">
      <c r="A879" s="13" t="inlineStr">
        <is>
          <t>877</t>
        </is>
      </c>
      <c r="B879" t="inlineStr">
        <is>
          <t>LIBRE</t>
        </is>
      </c>
      <c r="C879" s="14" t="n"/>
      <c r="E879" s="15">
        <f>IF($G879&lt;&gt;"PAGADO","",IFERROR(IF(VLOOKUP($A879,COMPRADORES!$A:$D,4,FALSE)="NO","Reservado",LEFT(VLOOKUP($A879,COMPRADORES!$A:$D,2,FALSE),3)&amp;"***"&amp;IF(TRIM(MID(VLOOKUP($A879,COMPRADORES!$A:$D,2,FALSE)&amp;" ",FIND(" ",VLOOKUP($A879,COMPRADORES!$A:$D,2,FALSE)&amp;" ")+1,99))="",""," "&amp;LEFT(TRIM(MID(VLOOKUP($A879,COMPRADORES!$A:$D,2,FALSE)&amp;" ",FIND(" ",VLOOKUP($A879,COMPRADORES!$A:$D,2,FALSE)&amp;" ")+1,99)),1)&amp;".")),""))</f>
        <v/>
      </c>
      <c r="F879" s="16">
        <f>IF($B879="PAGADO",MID("ABCDEFGHIJ",INT(VALUE($A879)/100)+1,1)&amp;"-"&amp;$A879,"")</f>
        <v/>
      </c>
      <c r="G879" s="16">
        <f>IF($B879="PAGADO","PAGADO",IF($B879="APARTADO",IF(NOT(ISNUMBER($C879)),"APARTADO",IF($C879&lt;1,"APARTADO",IF(NOW()-$C879&gt;1,"LIBRE","APARTADO"))),"LIBRE"))</f>
        <v/>
      </c>
      <c r="H879" s="15">
        <f>IF($G879&lt;&gt;"APARTADO","",IF(NOT(ISNUMBER($C879)),"FALTA LA HORA",IF($C879&lt;1,"FALTA LA FECHA",TEXT($C879+1,"dd/mm hh:mm"))))</f>
        <v/>
      </c>
    </row>
    <row r="880">
      <c r="A880" s="13" t="inlineStr">
        <is>
          <t>878</t>
        </is>
      </c>
      <c r="B880" t="inlineStr">
        <is>
          <t>LIBRE</t>
        </is>
      </c>
      <c r="C880" s="14" t="n"/>
      <c r="E880" s="15">
        <f>IF($G880&lt;&gt;"PAGADO","",IFERROR(IF(VLOOKUP($A880,COMPRADORES!$A:$D,4,FALSE)="NO","Reservado",LEFT(VLOOKUP($A880,COMPRADORES!$A:$D,2,FALSE),3)&amp;"***"&amp;IF(TRIM(MID(VLOOKUP($A880,COMPRADORES!$A:$D,2,FALSE)&amp;" ",FIND(" ",VLOOKUP($A880,COMPRADORES!$A:$D,2,FALSE)&amp;" ")+1,99))="",""," "&amp;LEFT(TRIM(MID(VLOOKUP($A880,COMPRADORES!$A:$D,2,FALSE)&amp;" ",FIND(" ",VLOOKUP($A880,COMPRADORES!$A:$D,2,FALSE)&amp;" ")+1,99)),1)&amp;".")),""))</f>
        <v/>
      </c>
      <c r="F880" s="16">
        <f>IF($B880="PAGADO",MID("ABCDEFGHIJ",INT(VALUE($A880)/100)+1,1)&amp;"-"&amp;$A880,"")</f>
        <v/>
      </c>
      <c r="G880" s="16">
        <f>IF($B880="PAGADO","PAGADO",IF($B880="APARTADO",IF(NOT(ISNUMBER($C880)),"APARTADO",IF($C880&lt;1,"APARTADO",IF(NOW()-$C880&gt;1,"LIBRE","APARTADO"))),"LIBRE"))</f>
        <v/>
      </c>
      <c r="H880" s="15">
        <f>IF($G880&lt;&gt;"APARTADO","",IF(NOT(ISNUMBER($C880)),"FALTA LA HORA",IF($C880&lt;1,"FALTA LA FECHA",TEXT($C880+1,"dd/mm hh:mm"))))</f>
        <v/>
      </c>
    </row>
    <row r="881">
      <c r="A881" s="13" t="inlineStr">
        <is>
          <t>879</t>
        </is>
      </c>
      <c r="B881" t="inlineStr">
        <is>
          <t>LIBRE</t>
        </is>
      </c>
      <c r="C881" s="14" t="n"/>
      <c r="E881" s="15">
        <f>IF($G881&lt;&gt;"PAGADO","",IFERROR(IF(VLOOKUP($A881,COMPRADORES!$A:$D,4,FALSE)="NO","Reservado",LEFT(VLOOKUP($A881,COMPRADORES!$A:$D,2,FALSE),3)&amp;"***"&amp;IF(TRIM(MID(VLOOKUP($A881,COMPRADORES!$A:$D,2,FALSE)&amp;" ",FIND(" ",VLOOKUP($A881,COMPRADORES!$A:$D,2,FALSE)&amp;" ")+1,99))="",""," "&amp;LEFT(TRIM(MID(VLOOKUP($A881,COMPRADORES!$A:$D,2,FALSE)&amp;" ",FIND(" ",VLOOKUP($A881,COMPRADORES!$A:$D,2,FALSE)&amp;" ")+1,99)),1)&amp;".")),""))</f>
        <v/>
      </c>
      <c r="F881" s="16">
        <f>IF($B881="PAGADO",MID("ABCDEFGHIJ",INT(VALUE($A881)/100)+1,1)&amp;"-"&amp;$A881,"")</f>
        <v/>
      </c>
      <c r="G881" s="16">
        <f>IF($B881="PAGADO","PAGADO",IF($B881="APARTADO",IF(NOT(ISNUMBER($C881)),"APARTADO",IF($C881&lt;1,"APARTADO",IF(NOW()-$C881&gt;1,"LIBRE","APARTADO"))),"LIBRE"))</f>
        <v/>
      </c>
      <c r="H881" s="15">
        <f>IF($G881&lt;&gt;"APARTADO","",IF(NOT(ISNUMBER($C881)),"FALTA LA HORA",IF($C881&lt;1,"FALTA LA FECHA",TEXT($C881+1,"dd/mm hh:mm"))))</f>
        <v/>
      </c>
    </row>
    <row r="882">
      <c r="A882" s="13" t="inlineStr">
        <is>
          <t>880</t>
        </is>
      </c>
      <c r="B882" t="inlineStr">
        <is>
          <t>LIBRE</t>
        </is>
      </c>
      <c r="C882" s="14" t="n"/>
      <c r="E882" s="15">
        <f>IF($G882&lt;&gt;"PAGADO","",IFERROR(IF(VLOOKUP($A882,COMPRADORES!$A:$D,4,FALSE)="NO","Reservado",LEFT(VLOOKUP($A882,COMPRADORES!$A:$D,2,FALSE),3)&amp;"***"&amp;IF(TRIM(MID(VLOOKUP($A882,COMPRADORES!$A:$D,2,FALSE)&amp;" ",FIND(" ",VLOOKUP($A882,COMPRADORES!$A:$D,2,FALSE)&amp;" ")+1,99))="",""," "&amp;LEFT(TRIM(MID(VLOOKUP($A882,COMPRADORES!$A:$D,2,FALSE)&amp;" ",FIND(" ",VLOOKUP($A882,COMPRADORES!$A:$D,2,FALSE)&amp;" ")+1,99)),1)&amp;".")),""))</f>
        <v/>
      </c>
      <c r="F882" s="16">
        <f>IF($B882="PAGADO",MID("ABCDEFGHIJ",INT(VALUE($A882)/100)+1,1)&amp;"-"&amp;$A882,"")</f>
        <v/>
      </c>
      <c r="G882" s="16">
        <f>IF($B882="PAGADO","PAGADO",IF($B882="APARTADO",IF(NOT(ISNUMBER($C882)),"APARTADO",IF($C882&lt;1,"APARTADO",IF(NOW()-$C882&gt;1,"LIBRE","APARTADO"))),"LIBRE"))</f>
        <v/>
      </c>
      <c r="H882" s="15">
        <f>IF($G882&lt;&gt;"APARTADO","",IF(NOT(ISNUMBER($C882)),"FALTA LA HORA",IF($C882&lt;1,"FALTA LA FECHA",TEXT($C882+1,"dd/mm hh:mm"))))</f>
        <v/>
      </c>
    </row>
    <row r="883">
      <c r="A883" s="13" t="inlineStr">
        <is>
          <t>881</t>
        </is>
      </c>
      <c r="B883" t="inlineStr">
        <is>
          <t>LIBRE</t>
        </is>
      </c>
      <c r="C883" s="14" t="n"/>
      <c r="E883" s="15">
        <f>IF($G883&lt;&gt;"PAGADO","",IFERROR(IF(VLOOKUP($A883,COMPRADORES!$A:$D,4,FALSE)="NO","Reservado",LEFT(VLOOKUP($A883,COMPRADORES!$A:$D,2,FALSE),3)&amp;"***"&amp;IF(TRIM(MID(VLOOKUP($A883,COMPRADORES!$A:$D,2,FALSE)&amp;" ",FIND(" ",VLOOKUP($A883,COMPRADORES!$A:$D,2,FALSE)&amp;" ")+1,99))="",""," "&amp;LEFT(TRIM(MID(VLOOKUP($A883,COMPRADORES!$A:$D,2,FALSE)&amp;" ",FIND(" ",VLOOKUP($A883,COMPRADORES!$A:$D,2,FALSE)&amp;" ")+1,99)),1)&amp;".")),""))</f>
        <v/>
      </c>
      <c r="F883" s="16">
        <f>IF($B883="PAGADO",MID("ABCDEFGHIJ",INT(VALUE($A883)/100)+1,1)&amp;"-"&amp;$A883,"")</f>
        <v/>
      </c>
      <c r="G883" s="16">
        <f>IF($B883="PAGADO","PAGADO",IF($B883="APARTADO",IF(NOT(ISNUMBER($C883)),"APARTADO",IF($C883&lt;1,"APARTADO",IF(NOW()-$C883&gt;1,"LIBRE","APARTADO"))),"LIBRE"))</f>
        <v/>
      </c>
      <c r="H883" s="15">
        <f>IF($G883&lt;&gt;"APARTADO","",IF(NOT(ISNUMBER($C883)),"FALTA LA HORA",IF($C883&lt;1,"FALTA LA FECHA",TEXT($C883+1,"dd/mm hh:mm"))))</f>
        <v/>
      </c>
    </row>
    <row r="884">
      <c r="A884" s="13" t="inlineStr">
        <is>
          <t>882</t>
        </is>
      </c>
      <c r="B884" t="inlineStr">
        <is>
          <t>LIBRE</t>
        </is>
      </c>
      <c r="C884" s="14" t="n"/>
      <c r="E884" s="15">
        <f>IF($G884&lt;&gt;"PAGADO","",IFERROR(IF(VLOOKUP($A884,COMPRADORES!$A:$D,4,FALSE)="NO","Reservado",LEFT(VLOOKUP($A884,COMPRADORES!$A:$D,2,FALSE),3)&amp;"***"&amp;IF(TRIM(MID(VLOOKUP($A884,COMPRADORES!$A:$D,2,FALSE)&amp;" ",FIND(" ",VLOOKUP($A884,COMPRADORES!$A:$D,2,FALSE)&amp;" ")+1,99))="",""," "&amp;LEFT(TRIM(MID(VLOOKUP($A884,COMPRADORES!$A:$D,2,FALSE)&amp;" ",FIND(" ",VLOOKUP($A884,COMPRADORES!$A:$D,2,FALSE)&amp;" ")+1,99)),1)&amp;".")),""))</f>
        <v/>
      </c>
      <c r="F884" s="16">
        <f>IF($B884="PAGADO",MID("ABCDEFGHIJ",INT(VALUE($A884)/100)+1,1)&amp;"-"&amp;$A884,"")</f>
        <v/>
      </c>
      <c r="G884" s="16">
        <f>IF($B884="PAGADO","PAGADO",IF($B884="APARTADO",IF(NOT(ISNUMBER($C884)),"APARTADO",IF($C884&lt;1,"APARTADO",IF(NOW()-$C884&gt;1,"LIBRE","APARTADO"))),"LIBRE"))</f>
        <v/>
      </c>
      <c r="H884" s="15">
        <f>IF($G884&lt;&gt;"APARTADO","",IF(NOT(ISNUMBER($C884)),"FALTA LA HORA",IF($C884&lt;1,"FALTA LA FECHA",TEXT($C884+1,"dd/mm hh:mm"))))</f>
        <v/>
      </c>
    </row>
    <row r="885">
      <c r="A885" s="13" t="inlineStr">
        <is>
          <t>883</t>
        </is>
      </c>
      <c r="B885" t="inlineStr">
        <is>
          <t>LIBRE</t>
        </is>
      </c>
      <c r="C885" s="14" t="n"/>
      <c r="E885" s="15">
        <f>IF($G885&lt;&gt;"PAGADO","",IFERROR(IF(VLOOKUP($A885,COMPRADORES!$A:$D,4,FALSE)="NO","Reservado",LEFT(VLOOKUP($A885,COMPRADORES!$A:$D,2,FALSE),3)&amp;"***"&amp;IF(TRIM(MID(VLOOKUP($A885,COMPRADORES!$A:$D,2,FALSE)&amp;" ",FIND(" ",VLOOKUP($A885,COMPRADORES!$A:$D,2,FALSE)&amp;" ")+1,99))="",""," "&amp;LEFT(TRIM(MID(VLOOKUP($A885,COMPRADORES!$A:$D,2,FALSE)&amp;" ",FIND(" ",VLOOKUP($A885,COMPRADORES!$A:$D,2,FALSE)&amp;" ")+1,99)),1)&amp;".")),""))</f>
        <v/>
      </c>
      <c r="F885" s="16">
        <f>IF($B885="PAGADO",MID("ABCDEFGHIJ",INT(VALUE($A885)/100)+1,1)&amp;"-"&amp;$A885,"")</f>
        <v/>
      </c>
      <c r="G885" s="16">
        <f>IF($B885="PAGADO","PAGADO",IF($B885="APARTADO",IF(NOT(ISNUMBER($C885)),"APARTADO",IF($C885&lt;1,"APARTADO",IF(NOW()-$C885&gt;1,"LIBRE","APARTADO"))),"LIBRE"))</f>
        <v/>
      </c>
      <c r="H885" s="15">
        <f>IF($G885&lt;&gt;"APARTADO","",IF(NOT(ISNUMBER($C885)),"FALTA LA HORA",IF($C885&lt;1,"FALTA LA FECHA",TEXT($C885+1,"dd/mm hh:mm"))))</f>
        <v/>
      </c>
    </row>
    <row r="886">
      <c r="A886" s="13" t="inlineStr">
        <is>
          <t>884</t>
        </is>
      </c>
      <c r="B886" t="inlineStr">
        <is>
          <t>LIBRE</t>
        </is>
      </c>
      <c r="C886" s="14" t="n"/>
      <c r="E886" s="15">
        <f>IF($G886&lt;&gt;"PAGADO","",IFERROR(IF(VLOOKUP($A886,COMPRADORES!$A:$D,4,FALSE)="NO","Reservado",LEFT(VLOOKUP($A886,COMPRADORES!$A:$D,2,FALSE),3)&amp;"***"&amp;IF(TRIM(MID(VLOOKUP($A886,COMPRADORES!$A:$D,2,FALSE)&amp;" ",FIND(" ",VLOOKUP($A886,COMPRADORES!$A:$D,2,FALSE)&amp;" ")+1,99))="",""," "&amp;LEFT(TRIM(MID(VLOOKUP($A886,COMPRADORES!$A:$D,2,FALSE)&amp;" ",FIND(" ",VLOOKUP($A886,COMPRADORES!$A:$D,2,FALSE)&amp;" ")+1,99)),1)&amp;".")),""))</f>
        <v/>
      </c>
      <c r="F886" s="16">
        <f>IF($B886="PAGADO",MID("ABCDEFGHIJ",INT(VALUE($A886)/100)+1,1)&amp;"-"&amp;$A886,"")</f>
        <v/>
      </c>
      <c r="G886" s="16">
        <f>IF($B886="PAGADO","PAGADO",IF($B886="APARTADO",IF(NOT(ISNUMBER($C886)),"APARTADO",IF($C886&lt;1,"APARTADO",IF(NOW()-$C886&gt;1,"LIBRE","APARTADO"))),"LIBRE"))</f>
        <v/>
      </c>
      <c r="H886" s="15">
        <f>IF($G886&lt;&gt;"APARTADO","",IF(NOT(ISNUMBER($C886)),"FALTA LA HORA",IF($C886&lt;1,"FALTA LA FECHA",TEXT($C886+1,"dd/mm hh:mm"))))</f>
        <v/>
      </c>
    </row>
    <row r="887">
      <c r="A887" s="13" t="inlineStr">
        <is>
          <t>885</t>
        </is>
      </c>
      <c r="B887" t="inlineStr">
        <is>
          <t>LIBRE</t>
        </is>
      </c>
      <c r="C887" s="14" t="n"/>
      <c r="E887" s="15">
        <f>IF($G887&lt;&gt;"PAGADO","",IFERROR(IF(VLOOKUP($A887,COMPRADORES!$A:$D,4,FALSE)="NO","Reservado",LEFT(VLOOKUP($A887,COMPRADORES!$A:$D,2,FALSE),3)&amp;"***"&amp;IF(TRIM(MID(VLOOKUP($A887,COMPRADORES!$A:$D,2,FALSE)&amp;" ",FIND(" ",VLOOKUP($A887,COMPRADORES!$A:$D,2,FALSE)&amp;" ")+1,99))="",""," "&amp;LEFT(TRIM(MID(VLOOKUP($A887,COMPRADORES!$A:$D,2,FALSE)&amp;" ",FIND(" ",VLOOKUP($A887,COMPRADORES!$A:$D,2,FALSE)&amp;" ")+1,99)),1)&amp;".")),""))</f>
        <v/>
      </c>
      <c r="F887" s="16">
        <f>IF($B887="PAGADO",MID("ABCDEFGHIJ",INT(VALUE($A887)/100)+1,1)&amp;"-"&amp;$A887,"")</f>
        <v/>
      </c>
      <c r="G887" s="16">
        <f>IF($B887="PAGADO","PAGADO",IF($B887="APARTADO",IF(NOT(ISNUMBER($C887)),"APARTADO",IF($C887&lt;1,"APARTADO",IF(NOW()-$C887&gt;1,"LIBRE","APARTADO"))),"LIBRE"))</f>
        <v/>
      </c>
      <c r="H887" s="15">
        <f>IF($G887&lt;&gt;"APARTADO","",IF(NOT(ISNUMBER($C887)),"FALTA LA HORA",IF($C887&lt;1,"FALTA LA FECHA",TEXT($C887+1,"dd/mm hh:mm"))))</f>
        <v/>
      </c>
    </row>
    <row r="888">
      <c r="A888" s="13" t="inlineStr">
        <is>
          <t>886</t>
        </is>
      </c>
      <c r="B888" t="inlineStr">
        <is>
          <t>LIBRE</t>
        </is>
      </c>
      <c r="C888" s="14" t="n"/>
      <c r="E888" s="15">
        <f>IF($G888&lt;&gt;"PAGADO","",IFERROR(IF(VLOOKUP($A888,COMPRADORES!$A:$D,4,FALSE)="NO","Reservado",LEFT(VLOOKUP($A888,COMPRADORES!$A:$D,2,FALSE),3)&amp;"***"&amp;IF(TRIM(MID(VLOOKUP($A888,COMPRADORES!$A:$D,2,FALSE)&amp;" ",FIND(" ",VLOOKUP($A888,COMPRADORES!$A:$D,2,FALSE)&amp;" ")+1,99))="",""," "&amp;LEFT(TRIM(MID(VLOOKUP($A888,COMPRADORES!$A:$D,2,FALSE)&amp;" ",FIND(" ",VLOOKUP($A888,COMPRADORES!$A:$D,2,FALSE)&amp;" ")+1,99)),1)&amp;".")),""))</f>
        <v/>
      </c>
      <c r="F888" s="16">
        <f>IF($B888="PAGADO",MID("ABCDEFGHIJ",INT(VALUE($A888)/100)+1,1)&amp;"-"&amp;$A888,"")</f>
        <v/>
      </c>
      <c r="G888" s="16">
        <f>IF($B888="PAGADO","PAGADO",IF($B888="APARTADO",IF(NOT(ISNUMBER($C888)),"APARTADO",IF($C888&lt;1,"APARTADO",IF(NOW()-$C888&gt;1,"LIBRE","APARTADO"))),"LIBRE"))</f>
        <v/>
      </c>
      <c r="H888" s="15">
        <f>IF($G888&lt;&gt;"APARTADO","",IF(NOT(ISNUMBER($C888)),"FALTA LA HORA",IF($C888&lt;1,"FALTA LA FECHA",TEXT($C888+1,"dd/mm hh:mm"))))</f>
        <v/>
      </c>
    </row>
    <row r="889">
      <c r="A889" s="13" t="inlineStr">
        <is>
          <t>887</t>
        </is>
      </c>
      <c r="B889" t="inlineStr">
        <is>
          <t>LIBRE</t>
        </is>
      </c>
      <c r="C889" s="14" t="n"/>
      <c r="E889" s="15">
        <f>IF($G889&lt;&gt;"PAGADO","",IFERROR(IF(VLOOKUP($A889,COMPRADORES!$A:$D,4,FALSE)="NO","Reservado",LEFT(VLOOKUP($A889,COMPRADORES!$A:$D,2,FALSE),3)&amp;"***"&amp;IF(TRIM(MID(VLOOKUP($A889,COMPRADORES!$A:$D,2,FALSE)&amp;" ",FIND(" ",VLOOKUP($A889,COMPRADORES!$A:$D,2,FALSE)&amp;" ")+1,99))="",""," "&amp;LEFT(TRIM(MID(VLOOKUP($A889,COMPRADORES!$A:$D,2,FALSE)&amp;" ",FIND(" ",VLOOKUP($A889,COMPRADORES!$A:$D,2,FALSE)&amp;" ")+1,99)),1)&amp;".")),""))</f>
        <v/>
      </c>
      <c r="F889" s="16">
        <f>IF($B889="PAGADO",MID("ABCDEFGHIJ",INT(VALUE($A889)/100)+1,1)&amp;"-"&amp;$A889,"")</f>
        <v/>
      </c>
      <c r="G889" s="16">
        <f>IF($B889="PAGADO","PAGADO",IF($B889="APARTADO",IF(NOT(ISNUMBER($C889)),"APARTADO",IF($C889&lt;1,"APARTADO",IF(NOW()-$C889&gt;1,"LIBRE","APARTADO"))),"LIBRE"))</f>
        <v/>
      </c>
      <c r="H889" s="15">
        <f>IF($G889&lt;&gt;"APARTADO","",IF(NOT(ISNUMBER($C889)),"FALTA LA HORA",IF($C889&lt;1,"FALTA LA FECHA",TEXT($C889+1,"dd/mm hh:mm"))))</f>
        <v/>
      </c>
    </row>
    <row r="890">
      <c r="A890" s="13" t="inlineStr">
        <is>
          <t>888</t>
        </is>
      </c>
      <c r="B890" t="inlineStr">
        <is>
          <t>LIBRE</t>
        </is>
      </c>
      <c r="C890" s="14" t="n"/>
      <c r="E890" s="15">
        <f>IF($G890&lt;&gt;"PAGADO","",IFERROR(IF(VLOOKUP($A890,COMPRADORES!$A:$D,4,FALSE)="NO","Reservado",LEFT(VLOOKUP($A890,COMPRADORES!$A:$D,2,FALSE),3)&amp;"***"&amp;IF(TRIM(MID(VLOOKUP($A890,COMPRADORES!$A:$D,2,FALSE)&amp;" ",FIND(" ",VLOOKUP($A890,COMPRADORES!$A:$D,2,FALSE)&amp;" ")+1,99))="",""," "&amp;LEFT(TRIM(MID(VLOOKUP($A890,COMPRADORES!$A:$D,2,FALSE)&amp;" ",FIND(" ",VLOOKUP($A890,COMPRADORES!$A:$D,2,FALSE)&amp;" ")+1,99)),1)&amp;".")),""))</f>
        <v/>
      </c>
      <c r="F890" s="16">
        <f>IF($B890="PAGADO",MID("ABCDEFGHIJ",INT(VALUE($A890)/100)+1,1)&amp;"-"&amp;$A890,"")</f>
        <v/>
      </c>
      <c r="G890" s="16">
        <f>IF($B890="PAGADO","PAGADO",IF($B890="APARTADO",IF(NOT(ISNUMBER($C890)),"APARTADO",IF($C890&lt;1,"APARTADO",IF(NOW()-$C890&gt;1,"LIBRE","APARTADO"))),"LIBRE"))</f>
        <v/>
      </c>
      <c r="H890" s="15">
        <f>IF($G890&lt;&gt;"APARTADO","",IF(NOT(ISNUMBER($C890)),"FALTA LA HORA",IF($C890&lt;1,"FALTA LA FECHA",TEXT($C890+1,"dd/mm hh:mm"))))</f>
        <v/>
      </c>
    </row>
    <row r="891">
      <c r="A891" s="13" t="inlineStr">
        <is>
          <t>889</t>
        </is>
      </c>
      <c r="B891" t="inlineStr">
        <is>
          <t>LIBRE</t>
        </is>
      </c>
      <c r="C891" s="14" t="n"/>
      <c r="E891" s="15">
        <f>IF($G891&lt;&gt;"PAGADO","",IFERROR(IF(VLOOKUP($A891,COMPRADORES!$A:$D,4,FALSE)="NO","Reservado",LEFT(VLOOKUP($A891,COMPRADORES!$A:$D,2,FALSE),3)&amp;"***"&amp;IF(TRIM(MID(VLOOKUP($A891,COMPRADORES!$A:$D,2,FALSE)&amp;" ",FIND(" ",VLOOKUP($A891,COMPRADORES!$A:$D,2,FALSE)&amp;" ")+1,99))="",""," "&amp;LEFT(TRIM(MID(VLOOKUP($A891,COMPRADORES!$A:$D,2,FALSE)&amp;" ",FIND(" ",VLOOKUP($A891,COMPRADORES!$A:$D,2,FALSE)&amp;" ")+1,99)),1)&amp;".")),""))</f>
        <v/>
      </c>
      <c r="F891" s="16">
        <f>IF($B891="PAGADO",MID("ABCDEFGHIJ",INT(VALUE($A891)/100)+1,1)&amp;"-"&amp;$A891,"")</f>
        <v/>
      </c>
      <c r="G891" s="16">
        <f>IF($B891="PAGADO","PAGADO",IF($B891="APARTADO",IF(NOT(ISNUMBER($C891)),"APARTADO",IF($C891&lt;1,"APARTADO",IF(NOW()-$C891&gt;1,"LIBRE","APARTADO"))),"LIBRE"))</f>
        <v/>
      </c>
      <c r="H891" s="15">
        <f>IF($G891&lt;&gt;"APARTADO","",IF(NOT(ISNUMBER($C891)),"FALTA LA HORA",IF($C891&lt;1,"FALTA LA FECHA",TEXT($C891+1,"dd/mm hh:mm"))))</f>
        <v/>
      </c>
    </row>
    <row r="892">
      <c r="A892" s="13" t="inlineStr">
        <is>
          <t>890</t>
        </is>
      </c>
      <c r="B892" t="inlineStr">
        <is>
          <t>LIBRE</t>
        </is>
      </c>
      <c r="C892" s="14" t="n"/>
      <c r="E892" s="15">
        <f>IF($G892&lt;&gt;"PAGADO","",IFERROR(IF(VLOOKUP($A892,COMPRADORES!$A:$D,4,FALSE)="NO","Reservado",LEFT(VLOOKUP($A892,COMPRADORES!$A:$D,2,FALSE),3)&amp;"***"&amp;IF(TRIM(MID(VLOOKUP($A892,COMPRADORES!$A:$D,2,FALSE)&amp;" ",FIND(" ",VLOOKUP($A892,COMPRADORES!$A:$D,2,FALSE)&amp;" ")+1,99))="",""," "&amp;LEFT(TRIM(MID(VLOOKUP($A892,COMPRADORES!$A:$D,2,FALSE)&amp;" ",FIND(" ",VLOOKUP($A892,COMPRADORES!$A:$D,2,FALSE)&amp;" ")+1,99)),1)&amp;".")),""))</f>
        <v/>
      </c>
      <c r="F892" s="16">
        <f>IF($B892="PAGADO",MID("ABCDEFGHIJ",INT(VALUE($A892)/100)+1,1)&amp;"-"&amp;$A892,"")</f>
        <v/>
      </c>
      <c r="G892" s="16">
        <f>IF($B892="PAGADO","PAGADO",IF($B892="APARTADO",IF(NOT(ISNUMBER($C892)),"APARTADO",IF($C892&lt;1,"APARTADO",IF(NOW()-$C892&gt;1,"LIBRE","APARTADO"))),"LIBRE"))</f>
        <v/>
      </c>
      <c r="H892" s="15">
        <f>IF($G892&lt;&gt;"APARTADO","",IF(NOT(ISNUMBER($C892)),"FALTA LA HORA",IF($C892&lt;1,"FALTA LA FECHA",TEXT($C892+1,"dd/mm hh:mm"))))</f>
        <v/>
      </c>
    </row>
    <row r="893">
      <c r="A893" s="13" t="inlineStr">
        <is>
          <t>891</t>
        </is>
      </c>
      <c r="B893" t="inlineStr">
        <is>
          <t>LIBRE</t>
        </is>
      </c>
      <c r="C893" s="14" t="n"/>
      <c r="E893" s="15">
        <f>IF($G893&lt;&gt;"PAGADO","",IFERROR(IF(VLOOKUP($A893,COMPRADORES!$A:$D,4,FALSE)="NO","Reservado",LEFT(VLOOKUP($A893,COMPRADORES!$A:$D,2,FALSE),3)&amp;"***"&amp;IF(TRIM(MID(VLOOKUP($A893,COMPRADORES!$A:$D,2,FALSE)&amp;" ",FIND(" ",VLOOKUP($A893,COMPRADORES!$A:$D,2,FALSE)&amp;" ")+1,99))="",""," "&amp;LEFT(TRIM(MID(VLOOKUP($A893,COMPRADORES!$A:$D,2,FALSE)&amp;" ",FIND(" ",VLOOKUP($A893,COMPRADORES!$A:$D,2,FALSE)&amp;" ")+1,99)),1)&amp;".")),""))</f>
        <v/>
      </c>
      <c r="F893" s="16">
        <f>IF($B893="PAGADO",MID("ABCDEFGHIJ",INT(VALUE($A893)/100)+1,1)&amp;"-"&amp;$A893,"")</f>
        <v/>
      </c>
      <c r="G893" s="16">
        <f>IF($B893="PAGADO","PAGADO",IF($B893="APARTADO",IF(NOT(ISNUMBER($C893)),"APARTADO",IF($C893&lt;1,"APARTADO",IF(NOW()-$C893&gt;1,"LIBRE","APARTADO"))),"LIBRE"))</f>
        <v/>
      </c>
      <c r="H893" s="15">
        <f>IF($G893&lt;&gt;"APARTADO","",IF(NOT(ISNUMBER($C893)),"FALTA LA HORA",IF($C893&lt;1,"FALTA LA FECHA",TEXT($C893+1,"dd/mm hh:mm"))))</f>
        <v/>
      </c>
    </row>
    <row r="894">
      <c r="A894" s="13" t="inlineStr">
        <is>
          <t>892</t>
        </is>
      </c>
      <c r="B894" t="inlineStr">
        <is>
          <t>LIBRE</t>
        </is>
      </c>
      <c r="C894" s="14" t="n"/>
      <c r="E894" s="15">
        <f>IF($G894&lt;&gt;"PAGADO","",IFERROR(IF(VLOOKUP($A894,COMPRADORES!$A:$D,4,FALSE)="NO","Reservado",LEFT(VLOOKUP($A894,COMPRADORES!$A:$D,2,FALSE),3)&amp;"***"&amp;IF(TRIM(MID(VLOOKUP($A894,COMPRADORES!$A:$D,2,FALSE)&amp;" ",FIND(" ",VLOOKUP($A894,COMPRADORES!$A:$D,2,FALSE)&amp;" ")+1,99))="",""," "&amp;LEFT(TRIM(MID(VLOOKUP($A894,COMPRADORES!$A:$D,2,FALSE)&amp;" ",FIND(" ",VLOOKUP($A894,COMPRADORES!$A:$D,2,FALSE)&amp;" ")+1,99)),1)&amp;".")),""))</f>
        <v/>
      </c>
      <c r="F894" s="16">
        <f>IF($B894="PAGADO",MID("ABCDEFGHIJ",INT(VALUE($A894)/100)+1,1)&amp;"-"&amp;$A894,"")</f>
        <v/>
      </c>
      <c r="G894" s="16">
        <f>IF($B894="PAGADO","PAGADO",IF($B894="APARTADO",IF(NOT(ISNUMBER($C894)),"APARTADO",IF($C894&lt;1,"APARTADO",IF(NOW()-$C894&gt;1,"LIBRE","APARTADO"))),"LIBRE"))</f>
        <v/>
      </c>
      <c r="H894" s="15">
        <f>IF($G894&lt;&gt;"APARTADO","",IF(NOT(ISNUMBER($C894)),"FALTA LA HORA",IF($C894&lt;1,"FALTA LA FECHA",TEXT($C894+1,"dd/mm hh:mm"))))</f>
        <v/>
      </c>
    </row>
    <row r="895">
      <c r="A895" s="13" t="inlineStr">
        <is>
          <t>893</t>
        </is>
      </c>
      <c r="B895" t="inlineStr">
        <is>
          <t>LIBRE</t>
        </is>
      </c>
      <c r="C895" s="14" t="n"/>
      <c r="E895" s="15">
        <f>IF($G895&lt;&gt;"PAGADO","",IFERROR(IF(VLOOKUP($A895,COMPRADORES!$A:$D,4,FALSE)="NO","Reservado",LEFT(VLOOKUP($A895,COMPRADORES!$A:$D,2,FALSE),3)&amp;"***"&amp;IF(TRIM(MID(VLOOKUP($A895,COMPRADORES!$A:$D,2,FALSE)&amp;" ",FIND(" ",VLOOKUP($A895,COMPRADORES!$A:$D,2,FALSE)&amp;" ")+1,99))="",""," "&amp;LEFT(TRIM(MID(VLOOKUP($A895,COMPRADORES!$A:$D,2,FALSE)&amp;" ",FIND(" ",VLOOKUP($A895,COMPRADORES!$A:$D,2,FALSE)&amp;" ")+1,99)),1)&amp;".")),""))</f>
        <v/>
      </c>
      <c r="F895" s="16">
        <f>IF($B895="PAGADO",MID("ABCDEFGHIJ",INT(VALUE($A895)/100)+1,1)&amp;"-"&amp;$A895,"")</f>
        <v/>
      </c>
      <c r="G895" s="16">
        <f>IF($B895="PAGADO","PAGADO",IF($B895="APARTADO",IF(NOT(ISNUMBER($C895)),"APARTADO",IF($C895&lt;1,"APARTADO",IF(NOW()-$C895&gt;1,"LIBRE","APARTADO"))),"LIBRE"))</f>
        <v/>
      </c>
      <c r="H895" s="15">
        <f>IF($G895&lt;&gt;"APARTADO","",IF(NOT(ISNUMBER($C895)),"FALTA LA HORA",IF($C895&lt;1,"FALTA LA FECHA",TEXT($C895+1,"dd/mm hh:mm"))))</f>
        <v/>
      </c>
    </row>
    <row r="896">
      <c r="A896" s="13" t="inlineStr">
        <is>
          <t>894</t>
        </is>
      </c>
      <c r="B896" t="inlineStr">
        <is>
          <t>LIBRE</t>
        </is>
      </c>
      <c r="C896" s="14" t="n"/>
      <c r="E896" s="15">
        <f>IF($G896&lt;&gt;"PAGADO","",IFERROR(IF(VLOOKUP($A896,COMPRADORES!$A:$D,4,FALSE)="NO","Reservado",LEFT(VLOOKUP($A896,COMPRADORES!$A:$D,2,FALSE),3)&amp;"***"&amp;IF(TRIM(MID(VLOOKUP($A896,COMPRADORES!$A:$D,2,FALSE)&amp;" ",FIND(" ",VLOOKUP($A896,COMPRADORES!$A:$D,2,FALSE)&amp;" ")+1,99))="",""," "&amp;LEFT(TRIM(MID(VLOOKUP($A896,COMPRADORES!$A:$D,2,FALSE)&amp;" ",FIND(" ",VLOOKUP($A896,COMPRADORES!$A:$D,2,FALSE)&amp;" ")+1,99)),1)&amp;".")),""))</f>
        <v/>
      </c>
      <c r="F896" s="16">
        <f>IF($B896="PAGADO",MID("ABCDEFGHIJ",INT(VALUE($A896)/100)+1,1)&amp;"-"&amp;$A896,"")</f>
        <v/>
      </c>
      <c r="G896" s="16">
        <f>IF($B896="PAGADO","PAGADO",IF($B896="APARTADO",IF(NOT(ISNUMBER($C896)),"APARTADO",IF($C896&lt;1,"APARTADO",IF(NOW()-$C896&gt;1,"LIBRE","APARTADO"))),"LIBRE"))</f>
        <v/>
      </c>
      <c r="H896" s="15">
        <f>IF($G896&lt;&gt;"APARTADO","",IF(NOT(ISNUMBER($C896)),"FALTA LA HORA",IF($C896&lt;1,"FALTA LA FECHA",TEXT($C896+1,"dd/mm hh:mm"))))</f>
        <v/>
      </c>
    </row>
    <row r="897">
      <c r="A897" s="13" t="inlineStr">
        <is>
          <t>895</t>
        </is>
      </c>
      <c r="B897" t="inlineStr">
        <is>
          <t>LIBRE</t>
        </is>
      </c>
      <c r="C897" s="14" t="n"/>
      <c r="E897" s="15">
        <f>IF($G897&lt;&gt;"PAGADO","",IFERROR(IF(VLOOKUP($A897,COMPRADORES!$A:$D,4,FALSE)="NO","Reservado",LEFT(VLOOKUP($A897,COMPRADORES!$A:$D,2,FALSE),3)&amp;"***"&amp;IF(TRIM(MID(VLOOKUP($A897,COMPRADORES!$A:$D,2,FALSE)&amp;" ",FIND(" ",VLOOKUP($A897,COMPRADORES!$A:$D,2,FALSE)&amp;" ")+1,99))="",""," "&amp;LEFT(TRIM(MID(VLOOKUP($A897,COMPRADORES!$A:$D,2,FALSE)&amp;" ",FIND(" ",VLOOKUP($A897,COMPRADORES!$A:$D,2,FALSE)&amp;" ")+1,99)),1)&amp;".")),""))</f>
        <v/>
      </c>
      <c r="F897" s="16">
        <f>IF($B897="PAGADO",MID("ABCDEFGHIJ",INT(VALUE($A897)/100)+1,1)&amp;"-"&amp;$A897,"")</f>
        <v/>
      </c>
      <c r="G897" s="16">
        <f>IF($B897="PAGADO","PAGADO",IF($B897="APARTADO",IF(NOT(ISNUMBER($C897)),"APARTADO",IF($C897&lt;1,"APARTADO",IF(NOW()-$C897&gt;1,"LIBRE","APARTADO"))),"LIBRE"))</f>
        <v/>
      </c>
      <c r="H897" s="15">
        <f>IF($G897&lt;&gt;"APARTADO","",IF(NOT(ISNUMBER($C897)),"FALTA LA HORA",IF($C897&lt;1,"FALTA LA FECHA",TEXT($C897+1,"dd/mm hh:mm"))))</f>
        <v/>
      </c>
    </row>
    <row r="898">
      <c r="A898" s="13" t="inlineStr">
        <is>
          <t>896</t>
        </is>
      </c>
      <c r="B898" t="inlineStr">
        <is>
          <t>LIBRE</t>
        </is>
      </c>
      <c r="C898" s="14" t="n"/>
      <c r="E898" s="15">
        <f>IF($G898&lt;&gt;"PAGADO","",IFERROR(IF(VLOOKUP($A898,COMPRADORES!$A:$D,4,FALSE)="NO","Reservado",LEFT(VLOOKUP($A898,COMPRADORES!$A:$D,2,FALSE),3)&amp;"***"&amp;IF(TRIM(MID(VLOOKUP($A898,COMPRADORES!$A:$D,2,FALSE)&amp;" ",FIND(" ",VLOOKUP($A898,COMPRADORES!$A:$D,2,FALSE)&amp;" ")+1,99))="",""," "&amp;LEFT(TRIM(MID(VLOOKUP($A898,COMPRADORES!$A:$D,2,FALSE)&amp;" ",FIND(" ",VLOOKUP($A898,COMPRADORES!$A:$D,2,FALSE)&amp;" ")+1,99)),1)&amp;".")),""))</f>
        <v/>
      </c>
      <c r="F898" s="16">
        <f>IF($B898="PAGADO",MID("ABCDEFGHIJ",INT(VALUE($A898)/100)+1,1)&amp;"-"&amp;$A898,"")</f>
        <v/>
      </c>
      <c r="G898" s="16">
        <f>IF($B898="PAGADO","PAGADO",IF($B898="APARTADO",IF(NOT(ISNUMBER($C898)),"APARTADO",IF($C898&lt;1,"APARTADO",IF(NOW()-$C898&gt;1,"LIBRE","APARTADO"))),"LIBRE"))</f>
        <v/>
      </c>
      <c r="H898" s="15">
        <f>IF($G898&lt;&gt;"APARTADO","",IF(NOT(ISNUMBER($C898)),"FALTA LA HORA",IF($C898&lt;1,"FALTA LA FECHA",TEXT($C898+1,"dd/mm hh:mm"))))</f>
        <v/>
      </c>
    </row>
    <row r="899">
      <c r="A899" s="13" t="inlineStr">
        <is>
          <t>897</t>
        </is>
      </c>
      <c r="B899" t="inlineStr">
        <is>
          <t>LIBRE</t>
        </is>
      </c>
      <c r="C899" s="14" t="n"/>
      <c r="E899" s="15">
        <f>IF($G899&lt;&gt;"PAGADO","",IFERROR(IF(VLOOKUP($A899,COMPRADORES!$A:$D,4,FALSE)="NO","Reservado",LEFT(VLOOKUP($A899,COMPRADORES!$A:$D,2,FALSE),3)&amp;"***"&amp;IF(TRIM(MID(VLOOKUP($A899,COMPRADORES!$A:$D,2,FALSE)&amp;" ",FIND(" ",VLOOKUP($A899,COMPRADORES!$A:$D,2,FALSE)&amp;" ")+1,99))="",""," "&amp;LEFT(TRIM(MID(VLOOKUP($A899,COMPRADORES!$A:$D,2,FALSE)&amp;" ",FIND(" ",VLOOKUP($A899,COMPRADORES!$A:$D,2,FALSE)&amp;" ")+1,99)),1)&amp;".")),""))</f>
        <v/>
      </c>
      <c r="F899" s="16">
        <f>IF($B899="PAGADO",MID("ABCDEFGHIJ",INT(VALUE($A899)/100)+1,1)&amp;"-"&amp;$A899,"")</f>
        <v/>
      </c>
      <c r="G899" s="16">
        <f>IF($B899="PAGADO","PAGADO",IF($B899="APARTADO",IF(NOT(ISNUMBER($C899)),"APARTADO",IF($C899&lt;1,"APARTADO",IF(NOW()-$C899&gt;1,"LIBRE","APARTADO"))),"LIBRE"))</f>
        <v/>
      </c>
      <c r="H899" s="15">
        <f>IF($G899&lt;&gt;"APARTADO","",IF(NOT(ISNUMBER($C899)),"FALTA LA HORA",IF($C899&lt;1,"FALTA LA FECHA",TEXT($C899+1,"dd/mm hh:mm"))))</f>
        <v/>
      </c>
    </row>
    <row r="900">
      <c r="A900" s="13" t="inlineStr">
        <is>
          <t>898</t>
        </is>
      </c>
      <c r="B900" t="inlineStr">
        <is>
          <t>LIBRE</t>
        </is>
      </c>
      <c r="C900" s="14" t="n"/>
      <c r="E900" s="15">
        <f>IF($G900&lt;&gt;"PAGADO","",IFERROR(IF(VLOOKUP($A900,COMPRADORES!$A:$D,4,FALSE)="NO","Reservado",LEFT(VLOOKUP($A900,COMPRADORES!$A:$D,2,FALSE),3)&amp;"***"&amp;IF(TRIM(MID(VLOOKUP($A900,COMPRADORES!$A:$D,2,FALSE)&amp;" ",FIND(" ",VLOOKUP($A900,COMPRADORES!$A:$D,2,FALSE)&amp;" ")+1,99))="",""," "&amp;LEFT(TRIM(MID(VLOOKUP($A900,COMPRADORES!$A:$D,2,FALSE)&amp;" ",FIND(" ",VLOOKUP($A900,COMPRADORES!$A:$D,2,FALSE)&amp;" ")+1,99)),1)&amp;".")),""))</f>
        <v/>
      </c>
      <c r="F900" s="16">
        <f>IF($B900="PAGADO",MID("ABCDEFGHIJ",INT(VALUE($A900)/100)+1,1)&amp;"-"&amp;$A900,"")</f>
        <v/>
      </c>
      <c r="G900" s="16">
        <f>IF($B900="PAGADO","PAGADO",IF($B900="APARTADO",IF(NOT(ISNUMBER($C900)),"APARTADO",IF($C900&lt;1,"APARTADO",IF(NOW()-$C900&gt;1,"LIBRE","APARTADO"))),"LIBRE"))</f>
        <v/>
      </c>
      <c r="H900" s="15">
        <f>IF($G900&lt;&gt;"APARTADO","",IF(NOT(ISNUMBER($C900)),"FALTA LA HORA",IF($C900&lt;1,"FALTA LA FECHA",TEXT($C900+1,"dd/mm hh:mm"))))</f>
        <v/>
      </c>
    </row>
    <row r="901">
      <c r="A901" s="13" t="inlineStr">
        <is>
          <t>899</t>
        </is>
      </c>
      <c r="B901" t="inlineStr">
        <is>
          <t>LIBRE</t>
        </is>
      </c>
      <c r="C901" s="14" t="n"/>
      <c r="E901" s="15">
        <f>IF($G901&lt;&gt;"PAGADO","",IFERROR(IF(VLOOKUP($A901,COMPRADORES!$A:$D,4,FALSE)="NO","Reservado",LEFT(VLOOKUP($A901,COMPRADORES!$A:$D,2,FALSE),3)&amp;"***"&amp;IF(TRIM(MID(VLOOKUP($A901,COMPRADORES!$A:$D,2,FALSE)&amp;" ",FIND(" ",VLOOKUP($A901,COMPRADORES!$A:$D,2,FALSE)&amp;" ")+1,99))="",""," "&amp;LEFT(TRIM(MID(VLOOKUP($A901,COMPRADORES!$A:$D,2,FALSE)&amp;" ",FIND(" ",VLOOKUP($A901,COMPRADORES!$A:$D,2,FALSE)&amp;" ")+1,99)),1)&amp;".")),""))</f>
        <v/>
      </c>
      <c r="F901" s="16">
        <f>IF($B901="PAGADO",MID("ABCDEFGHIJ",INT(VALUE($A901)/100)+1,1)&amp;"-"&amp;$A901,"")</f>
        <v/>
      </c>
      <c r="G901" s="16">
        <f>IF($B901="PAGADO","PAGADO",IF($B901="APARTADO",IF(NOT(ISNUMBER($C901)),"APARTADO",IF($C901&lt;1,"APARTADO",IF(NOW()-$C901&gt;1,"LIBRE","APARTADO"))),"LIBRE"))</f>
        <v/>
      </c>
      <c r="H901" s="15">
        <f>IF($G901&lt;&gt;"APARTADO","",IF(NOT(ISNUMBER($C901)),"FALTA LA HORA",IF($C901&lt;1,"FALTA LA FECHA",TEXT($C901+1,"dd/mm hh:mm"))))</f>
        <v/>
      </c>
    </row>
    <row r="902">
      <c r="A902" s="13" t="inlineStr">
        <is>
          <t>900</t>
        </is>
      </c>
      <c r="B902" t="inlineStr">
        <is>
          <t>LIBRE</t>
        </is>
      </c>
      <c r="C902" s="14" t="n"/>
      <c r="E902" s="15">
        <f>IF($G902&lt;&gt;"PAGADO","",IFERROR(IF(VLOOKUP($A902,COMPRADORES!$A:$D,4,FALSE)="NO","Reservado",LEFT(VLOOKUP($A902,COMPRADORES!$A:$D,2,FALSE),3)&amp;"***"&amp;IF(TRIM(MID(VLOOKUP($A902,COMPRADORES!$A:$D,2,FALSE)&amp;" ",FIND(" ",VLOOKUP($A902,COMPRADORES!$A:$D,2,FALSE)&amp;" ")+1,99))="",""," "&amp;LEFT(TRIM(MID(VLOOKUP($A902,COMPRADORES!$A:$D,2,FALSE)&amp;" ",FIND(" ",VLOOKUP($A902,COMPRADORES!$A:$D,2,FALSE)&amp;" ")+1,99)),1)&amp;".")),""))</f>
        <v/>
      </c>
      <c r="F902" s="16">
        <f>IF($B902="PAGADO",MID("ABCDEFGHIJ",INT(VALUE($A902)/100)+1,1)&amp;"-"&amp;$A902,"")</f>
        <v/>
      </c>
      <c r="G902" s="16">
        <f>IF($B902="PAGADO","PAGADO",IF($B902="APARTADO",IF(NOT(ISNUMBER($C902)),"APARTADO",IF($C902&lt;1,"APARTADO",IF(NOW()-$C902&gt;1,"LIBRE","APARTADO"))),"LIBRE"))</f>
        <v/>
      </c>
      <c r="H902" s="15">
        <f>IF($G902&lt;&gt;"APARTADO","",IF(NOT(ISNUMBER($C902)),"FALTA LA HORA",IF($C902&lt;1,"FALTA LA FECHA",TEXT($C902+1,"dd/mm hh:mm"))))</f>
        <v/>
      </c>
    </row>
    <row r="903">
      <c r="A903" s="13" t="inlineStr">
        <is>
          <t>901</t>
        </is>
      </c>
      <c r="B903" t="inlineStr">
        <is>
          <t>LIBRE</t>
        </is>
      </c>
      <c r="C903" s="14" t="n"/>
      <c r="E903" s="15">
        <f>IF($G903&lt;&gt;"PAGADO","",IFERROR(IF(VLOOKUP($A903,COMPRADORES!$A:$D,4,FALSE)="NO","Reservado",LEFT(VLOOKUP($A903,COMPRADORES!$A:$D,2,FALSE),3)&amp;"***"&amp;IF(TRIM(MID(VLOOKUP($A903,COMPRADORES!$A:$D,2,FALSE)&amp;" ",FIND(" ",VLOOKUP($A903,COMPRADORES!$A:$D,2,FALSE)&amp;" ")+1,99))="",""," "&amp;LEFT(TRIM(MID(VLOOKUP($A903,COMPRADORES!$A:$D,2,FALSE)&amp;" ",FIND(" ",VLOOKUP($A903,COMPRADORES!$A:$D,2,FALSE)&amp;" ")+1,99)),1)&amp;".")),""))</f>
        <v/>
      </c>
      <c r="F903" s="16">
        <f>IF($B903="PAGADO",MID("ABCDEFGHIJ",INT(VALUE($A903)/100)+1,1)&amp;"-"&amp;$A903,"")</f>
        <v/>
      </c>
      <c r="G903" s="16">
        <f>IF($B903="PAGADO","PAGADO",IF($B903="APARTADO",IF(NOT(ISNUMBER($C903)),"APARTADO",IF($C903&lt;1,"APARTADO",IF(NOW()-$C903&gt;1,"LIBRE","APARTADO"))),"LIBRE"))</f>
        <v/>
      </c>
      <c r="H903" s="15">
        <f>IF($G903&lt;&gt;"APARTADO","",IF(NOT(ISNUMBER($C903)),"FALTA LA HORA",IF($C903&lt;1,"FALTA LA FECHA",TEXT($C903+1,"dd/mm hh:mm"))))</f>
        <v/>
      </c>
    </row>
    <row r="904">
      <c r="A904" s="13" t="inlineStr">
        <is>
          <t>902</t>
        </is>
      </c>
      <c r="B904" t="inlineStr">
        <is>
          <t>LIBRE</t>
        </is>
      </c>
      <c r="C904" s="14" t="n"/>
      <c r="E904" s="15">
        <f>IF($G904&lt;&gt;"PAGADO","",IFERROR(IF(VLOOKUP($A904,COMPRADORES!$A:$D,4,FALSE)="NO","Reservado",LEFT(VLOOKUP($A904,COMPRADORES!$A:$D,2,FALSE),3)&amp;"***"&amp;IF(TRIM(MID(VLOOKUP($A904,COMPRADORES!$A:$D,2,FALSE)&amp;" ",FIND(" ",VLOOKUP($A904,COMPRADORES!$A:$D,2,FALSE)&amp;" ")+1,99))="",""," "&amp;LEFT(TRIM(MID(VLOOKUP($A904,COMPRADORES!$A:$D,2,FALSE)&amp;" ",FIND(" ",VLOOKUP($A904,COMPRADORES!$A:$D,2,FALSE)&amp;" ")+1,99)),1)&amp;".")),""))</f>
        <v/>
      </c>
      <c r="F904" s="16">
        <f>IF($B904="PAGADO",MID("ABCDEFGHIJ",INT(VALUE($A904)/100)+1,1)&amp;"-"&amp;$A904,"")</f>
        <v/>
      </c>
      <c r="G904" s="16">
        <f>IF($B904="PAGADO","PAGADO",IF($B904="APARTADO",IF(NOT(ISNUMBER($C904)),"APARTADO",IF($C904&lt;1,"APARTADO",IF(NOW()-$C904&gt;1,"LIBRE","APARTADO"))),"LIBRE"))</f>
        <v/>
      </c>
      <c r="H904" s="15">
        <f>IF($G904&lt;&gt;"APARTADO","",IF(NOT(ISNUMBER($C904)),"FALTA LA HORA",IF($C904&lt;1,"FALTA LA FECHA",TEXT($C904+1,"dd/mm hh:mm"))))</f>
        <v/>
      </c>
    </row>
    <row r="905">
      <c r="A905" s="13" t="inlineStr">
        <is>
          <t>903</t>
        </is>
      </c>
      <c r="B905" t="inlineStr">
        <is>
          <t>LIBRE</t>
        </is>
      </c>
      <c r="C905" s="14" t="n"/>
      <c r="E905" s="15">
        <f>IF($G905&lt;&gt;"PAGADO","",IFERROR(IF(VLOOKUP($A905,COMPRADORES!$A:$D,4,FALSE)="NO","Reservado",LEFT(VLOOKUP($A905,COMPRADORES!$A:$D,2,FALSE),3)&amp;"***"&amp;IF(TRIM(MID(VLOOKUP($A905,COMPRADORES!$A:$D,2,FALSE)&amp;" ",FIND(" ",VLOOKUP($A905,COMPRADORES!$A:$D,2,FALSE)&amp;" ")+1,99))="",""," "&amp;LEFT(TRIM(MID(VLOOKUP($A905,COMPRADORES!$A:$D,2,FALSE)&amp;" ",FIND(" ",VLOOKUP($A905,COMPRADORES!$A:$D,2,FALSE)&amp;" ")+1,99)),1)&amp;".")),""))</f>
        <v/>
      </c>
      <c r="F905" s="16">
        <f>IF($B905="PAGADO",MID("ABCDEFGHIJ",INT(VALUE($A905)/100)+1,1)&amp;"-"&amp;$A905,"")</f>
        <v/>
      </c>
      <c r="G905" s="16">
        <f>IF($B905="PAGADO","PAGADO",IF($B905="APARTADO",IF(NOT(ISNUMBER($C905)),"APARTADO",IF($C905&lt;1,"APARTADO",IF(NOW()-$C905&gt;1,"LIBRE","APARTADO"))),"LIBRE"))</f>
        <v/>
      </c>
      <c r="H905" s="15">
        <f>IF($G905&lt;&gt;"APARTADO","",IF(NOT(ISNUMBER($C905)),"FALTA LA HORA",IF($C905&lt;1,"FALTA LA FECHA",TEXT($C905+1,"dd/mm hh:mm"))))</f>
        <v/>
      </c>
    </row>
    <row r="906">
      <c r="A906" s="13" t="inlineStr">
        <is>
          <t>904</t>
        </is>
      </c>
      <c r="B906" t="inlineStr">
        <is>
          <t>LIBRE</t>
        </is>
      </c>
      <c r="C906" s="14" t="n"/>
      <c r="E906" s="15">
        <f>IF($G906&lt;&gt;"PAGADO","",IFERROR(IF(VLOOKUP($A906,COMPRADORES!$A:$D,4,FALSE)="NO","Reservado",LEFT(VLOOKUP($A906,COMPRADORES!$A:$D,2,FALSE),3)&amp;"***"&amp;IF(TRIM(MID(VLOOKUP($A906,COMPRADORES!$A:$D,2,FALSE)&amp;" ",FIND(" ",VLOOKUP($A906,COMPRADORES!$A:$D,2,FALSE)&amp;" ")+1,99))="",""," "&amp;LEFT(TRIM(MID(VLOOKUP($A906,COMPRADORES!$A:$D,2,FALSE)&amp;" ",FIND(" ",VLOOKUP($A906,COMPRADORES!$A:$D,2,FALSE)&amp;" ")+1,99)),1)&amp;".")),""))</f>
        <v/>
      </c>
      <c r="F906" s="16">
        <f>IF($B906="PAGADO",MID("ABCDEFGHIJ",INT(VALUE($A906)/100)+1,1)&amp;"-"&amp;$A906,"")</f>
        <v/>
      </c>
      <c r="G906" s="16">
        <f>IF($B906="PAGADO","PAGADO",IF($B906="APARTADO",IF(NOT(ISNUMBER($C906)),"APARTADO",IF($C906&lt;1,"APARTADO",IF(NOW()-$C906&gt;1,"LIBRE","APARTADO"))),"LIBRE"))</f>
        <v/>
      </c>
      <c r="H906" s="15">
        <f>IF($G906&lt;&gt;"APARTADO","",IF(NOT(ISNUMBER($C906)),"FALTA LA HORA",IF($C906&lt;1,"FALTA LA FECHA",TEXT($C906+1,"dd/mm hh:mm"))))</f>
        <v/>
      </c>
    </row>
    <row r="907">
      <c r="A907" s="13" t="inlineStr">
        <is>
          <t>905</t>
        </is>
      </c>
      <c r="B907" t="inlineStr">
        <is>
          <t>LIBRE</t>
        </is>
      </c>
      <c r="C907" s="14" t="n"/>
      <c r="E907" s="15">
        <f>IF($G907&lt;&gt;"PAGADO","",IFERROR(IF(VLOOKUP($A907,COMPRADORES!$A:$D,4,FALSE)="NO","Reservado",LEFT(VLOOKUP($A907,COMPRADORES!$A:$D,2,FALSE),3)&amp;"***"&amp;IF(TRIM(MID(VLOOKUP($A907,COMPRADORES!$A:$D,2,FALSE)&amp;" ",FIND(" ",VLOOKUP($A907,COMPRADORES!$A:$D,2,FALSE)&amp;" ")+1,99))="",""," "&amp;LEFT(TRIM(MID(VLOOKUP($A907,COMPRADORES!$A:$D,2,FALSE)&amp;" ",FIND(" ",VLOOKUP($A907,COMPRADORES!$A:$D,2,FALSE)&amp;" ")+1,99)),1)&amp;".")),""))</f>
        <v/>
      </c>
      <c r="F907" s="16">
        <f>IF($B907="PAGADO",MID("ABCDEFGHIJ",INT(VALUE($A907)/100)+1,1)&amp;"-"&amp;$A907,"")</f>
        <v/>
      </c>
      <c r="G907" s="16">
        <f>IF($B907="PAGADO","PAGADO",IF($B907="APARTADO",IF(NOT(ISNUMBER($C907)),"APARTADO",IF($C907&lt;1,"APARTADO",IF(NOW()-$C907&gt;1,"LIBRE","APARTADO"))),"LIBRE"))</f>
        <v/>
      </c>
      <c r="H907" s="15">
        <f>IF($G907&lt;&gt;"APARTADO","",IF(NOT(ISNUMBER($C907)),"FALTA LA HORA",IF($C907&lt;1,"FALTA LA FECHA",TEXT($C907+1,"dd/mm hh:mm"))))</f>
        <v/>
      </c>
    </row>
    <row r="908">
      <c r="A908" s="13" t="inlineStr">
        <is>
          <t>906</t>
        </is>
      </c>
      <c r="B908" t="inlineStr">
        <is>
          <t>LIBRE</t>
        </is>
      </c>
      <c r="C908" s="14" t="n"/>
      <c r="E908" s="15">
        <f>IF($G908&lt;&gt;"PAGADO","",IFERROR(IF(VLOOKUP($A908,COMPRADORES!$A:$D,4,FALSE)="NO","Reservado",LEFT(VLOOKUP($A908,COMPRADORES!$A:$D,2,FALSE),3)&amp;"***"&amp;IF(TRIM(MID(VLOOKUP($A908,COMPRADORES!$A:$D,2,FALSE)&amp;" ",FIND(" ",VLOOKUP($A908,COMPRADORES!$A:$D,2,FALSE)&amp;" ")+1,99))="",""," "&amp;LEFT(TRIM(MID(VLOOKUP($A908,COMPRADORES!$A:$D,2,FALSE)&amp;" ",FIND(" ",VLOOKUP($A908,COMPRADORES!$A:$D,2,FALSE)&amp;" ")+1,99)),1)&amp;".")),""))</f>
        <v/>
      </c>
      <c r="F908" s="16">
        <f>IF($B908="PAGADO",MID("ABCDEFGHIJ",INT(VALUE($A908)/100)+1,1)&amp;"-"&amp;$A908,"")</f>
        <v/>
      </c>
      <c r="G908" s="16">
        <f>IF($B908="PAGADO","PAGADO",IF($B908="APARTADO",IF(NOT(ISNUMBER($C908)),"APARTADO",IF($C908&lt;1,"APARTADO",IF(NOW()-$C908&gt;1,"LIBRE","APARTADO"))),"LIBRE"))</f>
        <v/>
      </c>
      <c r="H908" s="15">
        <f>IF($G908&lt;&gt;"APARTADO","",IF(NOT(ISNUMBER($C908)),"FALTA LA HORA",IF($C908&lt;1,"FALTA LA FECHA",TEXT($C908+1,"dd/mm hh:mm"))))</f>
        <v/>
      </c>
    </row>
    <row r="909">
      <c r="A909" s="13" t="inlineStr">
        <is>
          <t>907</t>
        </is>
      </c>
      <c r="B909" t="inlineStr">
        <is>
          <t>LIBRE</t>
        </is>
      </c>
      <c r="C909" s="14" t="n"/>
      <c r="E909" s="15">
        <f>IF($G909&lt;&gt;"PAGADO","",IFERROR(IF(VLOOKUP($A909,COMPRADORES!$A:$D,4,FALSE)="NO","Reservado",LEFT(VLOOKUP($A909,COMPRADORES!$A:$D,2,FALSE),3)&amp;"***"&amp;IF(TRIM(MID(VLOOKUP($A909,COMPRADORES!$A:$D,2,FALSE)&amp;" ",FIND(" ",VLOOKUP($A909,COMPRADORES!$A:$D,2,FALSE)&amp;" ")+1,99))="",""," "&amp;LEFT(TRIM(MID(VLOOKUP($A909,COMPRADORES!$A:$D,2,FALSE)&amp;" ",FIND(" ",VLOOKUP($A909,COMPRADORES!$A:$D,2,FALSE)&amp;" ")+1,99)),1)&amp;".")),""))</f>
        <v/>
      </c>
      <c r="F909" s="16">
        <f>IF($B909="PAGADO",MID("ABCDEFGHIJ",INT(VALUE($A909)/100)+1,1)&amp;"-"&amp;$A909,"")</f>
        <v/>
      </c>
      <c r="G909" s="16">
        <f>IF($B909="PAGADO","PAGADO",IF($B909="APARTADO",IF(NOT(ISNUMBER($C909)),"APARTADO",IF($C909&lt;1,"APARTADO",IF(NOW()-$C909&gt;1,"LIBRE","APARTADO"))),"LIBRE"))</f>
        <v/>
      </c>
      <c r="H909" s="15">
        <f>IF($G909&lt;&gt;"APARTADO","",IF(NOT(ISNUMBER($C909)),"FALTA LA HORA",IF($C909&lt;1,"FALTA LA FECHA",TEXT($C909+1,"dd/mm hh:mm"))))</f>
        <v/>
      </c>
    </row>
    <row r="910">
      <c r="A910" s="13" t="inlineStr">
        <is>
          <t>908</t>
        </is>
      </c>
      <c r="B910" t="inlineStr">
        <is>
          <t>LIBRE</t>
        </is>
      </c>
      <c r="C910" s="14" t="n"/>
      <c r="E910" s="15">
        <f>IF($G910&lt;&gt;"PAGADO","",IFERROR(IF(VLOOKUP($A910,COMPRADORES!$A:$D,4,FALSE)="NO","Reservado",LEFT(VLOOKUP($A910,COMPRADORES!$A:$D,2,FALSE),3)&amp;"***"&amp;IF(TRIM(MID(VLOOKUP($A910,COMPRADORES!$A:$D,2,FALSE)&amp;" ",FIND(" ",VLOOKUP($A910,COMPRADORES!$A:$D,2,FALSE)&amp;" ")+1,99))="",""," "&amp;LEFT(TRIM(MID(VLOOKUP($A910,COMPRADORES!$A:$D,2,FALSE)&amp;" ",FIND(" ",VLOOKUP($A910,COMPRADORES!$A:$D,2,FALSE)&amp;" ")+1,99)),1)&amp;".")),""))</f>
        <v/>
      </c>
      <c r="F910" s="16">
        <f>IF($B910="PAGADO",MID("ABCDEFGHIJ",INT(VALUE($A910)/100)+1,1)&amp;"-"&amp;$A910,"")</f>
        <v/>
      </c>
      <c r="G910" s="16">
        <f>IF($B910="PAGADO","PAGADO",IF($B910="APARTADO",IF(NOT(ISNUMBER($C910)),"APARTADO",IF($C910&lt;1,"APARTADO",IF(NOW()-$C910&gt;1,"LIBRE","APARTADO"))),"LIBRE"))</f>
        <v/>
      </c>
      <c r="H910" s="15">
        <f>IF($G910&lt;&gt;"APARTADO","",IF(NOT(ISNUMBER($C910)),"FALTA LA HORA",IF($C910&lt;1,"FALTA LA FECHA",TEXT($C910+1,"dd/mm hh:mm"))))</f>
        <v/>
      </c>
    </row>
    <row r="911">
      <c r="A911" s="13" t="inlineStr">
        <is>
          <t>909</t>
        </is>
      </c>
      <c r="B911" t="inlineStr">
        <is>
          <t>LIBRE</t>
        </is>
      </c>
      <c r="C911" s="14" t="n"/>
      <c r="E911" s="15">
        <f>IF($G911&lt;&gt;"PAGADO","",IFERROR(IF(VLOOKUP($A911,COMPRADORES!$A:$D,4,FALSE)="NO","Reservado",LEFT(VLOOKUP($A911,COMPRADORES!$A:$D,2,FALSE),3)&amp;"***"&amp;IF(TRIM(MID(VLOOKUP($A911,COMPRADORES!$A:$D,2,FALSE)&amp;" ",FIND(" ",VLOOKUP($A911,COMPRADORES!$A:$D,2,FALSE)&amp;" ")+1,99))="",""," "&amp;LEFT(TRIM(MID(VLOOKUP($A911,COMPRADORES!$A:$D,2,FALSE)&amp;" ",FIND(" ",VLOOKUP($A911,COMPRADORES!$A:$D,2,FALSE)&amp;" ")+1,99)),1)&amp;".")),""))</f>
        <v/>
      </c>
      <c r="F911" s="16">
        <f>IF($B911="PAGADO",MID("ABCDEFGHIJ",INT(VALUE($A911)/100)+1,1)&amp;"-"&amp;$A911,"")</f>
        <v/>
      </c>
      <c r="G911" s="16">
        <f>IF($B911="PAGADO","PAGADO",IF($B911="APARTADO",IF(NOT(ISNUMBER($C911)),"APARTADO",IF($C911&lt;1,"APARTADO",IF(NOW()-$C911&gt;1,"LIBRE","APARTADO"))),"LIBRE"))</f>
        <v/>
      </c>
      <c r="H911" s="15">
        <f>IF($G911&lt;&gt;"APARTADO","",IF(NOT(ISNUMBER($C911)),"FALTA LA HORA",IF($C911&lt;1,"FALTA LA FECHA",TEXT($C911+1,"dd/mm hh:mm"))))</f>
        <v/>
      </c>
    </row>
    <row r="912">
      <c r="A912" s="13" t="inlineStr">
        <is>
          <t>910</t>
        </is>
      </c>
      <c r="B912" t="inlineStr">
        <is>
          <t>LIBRE</t>
        </is>
      </c>
      <c r="C912" s="14" t="n"/>
      <c r="E912" s="15">
        <f>IF($G912&lt;&gt;"PAGADO","",IFERROR(IF(VLOOKUP($A912,COMPRADORES!$A:$D,4,FALSE)="NO","Reservado",LEFT(VLOOKUP($A912,COMPRADORES!$A:$D,2,FALSE),3)&amp;"***"&amp;IF(TRIM(MID(VLOOKUP($A912,COMPRADORES!$A:$D,2,FALSE)&amp;" ",FIND(" ",VLOOKUP($A912,COMPRADORES!$A:$D,2,FALSE)&amp;" ")+1,99))="",""," "&amp;LEFT(TRIM(MID(VLOOKUP($A912,COMPRADORES!$A:$D,2,FALSE)&amp;" ",FIND(" ",VLOOKUP($A912,COMPRADORES!$A:$D,2,FALSE)&amp;" ")+1,99)),1)&amp;".")),""))</f>
        <v/>
      </c>
      <c r="F912" s="16">
        <f>IF($B912="PAGADO",MID("ABCDEFGHIJ",INT(VALUE($A912)/100)+1,1)&amp;"-"&amp;$A912,"")</f>
        <v/>
      </c>
      <c r="G912" s="16">
        <f>IF($B912="PAGADO","PAGADO",IF($B912="APARTADO",IF(NOT(ISNUMBER($C912)),"APARTADO",IF($C912&lt;1,"APARTADO",IF(NOW()-$C912&gt;1,"LIBRE","APARTADO"))),"LIBRE"))</f>
        <v/>
      </c>
      <c r="H912" s="15">
        <f>IF($G912&lt;&gt;"APARTADO","",IF(NOT(ISNUMBER($C912)),"FALTA LA HORA",IF($C912&lt;1,"FALTA LA FECHA",TEXT($C912+1,"dd/mm hh:mm"))))</f>
        <v/>
      </c>
    </row>
    <row r="913">
      <c r="A913" s="13" t="inlineStr">
        <is>
          <t>911</t>
        </is>
      </c>
      <c r="B913" t="inlineStr">
        <is>
          <t>LIBRE</t>
        </is>
      </c>
      <c r="C913" s="14" t="n"/>
      <c r="E913" s="15">
        <f>IF($G913&lt;&gt;"PAGADO","",IFERROR(IF(VLOOKUP($A913,COMPRADORES!$A:$D,4,FALSE)="NO","Reservado",LEFT(VLOOKUP($A913,COMPRADORES!$A:$D,2,FALSE),3)&amp;"***"&amp;IF(TRIM(MID(VLOOKUP($A913,COMPRADORES!$A:$D,2,FALSE)&amp;" ",FIND(" ",VLOOKUP($A913,COMPRADORES!$A:$D,2,FALSE)&amp;" ")+1,99))="",""," "&amp;LEFT(TRIM(MID(VLOOKUP($A913,COMPRADORES!$A:$D,2,FALSE)&amp;" ",FIND(" ",VLOOKUP($A913,COMPRADORES!$A:$D,2,FALSE)&amp;" ")+1,99)),1)&amp;".")),""))</f>
        <v/>
      </c>
      <c r="F913" s="16">
        <f>IF($B913="PAGADO",MID("ABCDEFGHIJ",INT(VALUE($A913)/100)+1,1)&amp;"-"&amp;$A913,"")</f>
        <v/>
      </c>
      <c r="G913" s="16">
        <f>IF($B913="PAGADO","PAGADO",IF($B913="APARTADO",IF(NOT(ISNUMBER($C913)),"APARTADO",IF($C913&lt;1,"APARTADO",IF(NOW()-$C913&gt;1,"LIBRE","APARTADO"))),"LIBRE"))</f>
        <v/>
      </c>
      <c r="H913" s="15">
        <f>IF($G913&lt;&gt;"APARTADO","",IF(NOT(ISNUMBER($C913)),"FALTA LA HORA",IF($C913&lt;1,"FALTA LA FECHA",TEXT($C913+1,"dd/mm hh:mm"))))</f>
        <v/>
      </c>
    </row>
    <row r="914">
      <c r="A914" s="13" t="inlineStr">
        <is>
          <t>912</t>
        </is>
      </c>
      <c r="B914" t="inlineStr">
        <is>
          <t>LIBRE</t>
        </is>
      </c>
      <c r="C914" s="14" t="n"/>
      <c r="E914" s="15">
        <f>IF($G914&lt;&gt;"PAGADO","",IFERROR(IF(VLOOKUP($A914,COMPRADORES!$A:$D,4,FALSE)="NO","Reservado",LEFT(VLOOKUP($A914,COMPRADORES!$A:$D,2,FALSE),3)&amp;"***"&amp;IF(TRIM(MID(VLOOKUP($A914,COMPRADORES!$A:$D,2,FALSE)&amp;" ",FIND(" ",VLOOKUP($A914,COMPRADORES!$A:$D,2,FALSE)&amp;" ")+1,99))="",""," "&amp;LEFT(TRIM(MID(VLOOKUP($A914,COMPRADORES!$A:$D,2,FALSE)&amp;" ",FIND(" ",VLOOKUP($A914,COMPRADORES!$A:$D,2,FALSE)&amp;" ")+1,99)),1)&amp;".")),""))</f>
        <v/>
      </c>
      <c r="F914" s="16">
        <f>IF($B914="PAGADO",MID("ABCDEFGHIJ",INT(VALUE($A914)/100)+1,1)&amp;"-"&amp;$A914,"")</f>
        <v/>
      </c>
      <c r="G914" s="16">
        <f>IF($B914="PAGADO","PAGADO",IF($B914="APARTADO",IF(NOT(ISNUMBER($C914)),"APARTADO",IF($C914&lt;1,"APARTADO",IF(NOW()-$C914&gt;1,"LIBRE","APARTADO"))),"LIBRE"))</f>
        <v/>
      </c>
      <c r="H914" s="15">
        <f>IF($G914&lt;&gt;"APARTADO","",IF(NOT(ISNUMBER($C914)),"FALTA LA HORA",IF($C914&lt;1,"FALTA LA FECHA",TEXT($C914+1,"dd/mm hh:mm"))))</f>
        <v/>
      </c>
    </row>
    <row r="915">
      <c r="A915" s="13" t="inlineStr">
        <is>
          <t>913</t>
        </is>
      </c>
      <c r="B915" t="inlineStr">
        <is>
          <t>LIBRE</t>
        </is>
      </c>
      <c r="C915" s="14" t="n"/>
      <c r="E915" s="15">
        <f>IF($G915&lt;&gt;"PAGADO","",IFERROR(IF(VLOOKUP($A915,COMPRADORES!$A:$D,4,FALSE)="NO","Reservado",LEFT(VLOOKUP($A915,COMPRADORES!$A:$D,2,FALSE),3)&amp;"***"&amp;IF(TRIM(MID(VLOOKUP($A915,COMPRADORES!$A:$D,2,FALSE)&amp;" ",FIND(" ",VLOOKUP($A915,COMPRADORES!$A:$D,2,FALSE)&amp;" ")+1,99))="",""," "&amp;LEFT(TRIM(MID(VLOOKUP($A915,COMPRADORES!$A:$D,2,FALSE)&amp;" ",FIND(" ",VLOOKUP($A915,COMPRADORES!$A:$D,2,FALSE)&amp;" ")+1,99)),1)&amp;".")),""))</f>
        <v/>
      </c>
      <c r="F915" s="16">
        <f>IF($B915="PAGADO",MID("ABCDEFGHIJ",INT(VALUE($A915)/100)+1,1)&amp;"-"&amp;$A915,"")</f>
        <v/>
      </c>
      <c r="G915" s="16">
        <f>IF($B915="PAGADO","PAGADO",IF($B915="APARTADO",IF(NOT(ISNUMBER($C915)),"APARTADO",IF($C915&lt;1,"APARTADO",IF(NOW()-$C915&gt;1,"LIBRE","APARTADO"))),"LIBRE"))</f>
        <v/>
      </c>
      <c r="H915" s="15">
        <f>IF($G915&lt;&gt;"APARTADO","",IF(NOT(ISNUMBER($C915)),"FALTA LA HORA",IF($C915&lt;1,"FALTA LA FECHA",TEXT($C915+1,"dd/mm hh:mm"))))</f>
        <v/>
      </c>
    </row>
    <row r="916">
      <c r="A916" s="13" t="inlineStr">
        <is>
          <t>914</t>
        </is>
      </c>
      <c r="B916" t="inlineStr">
        <is>
          <t>LIBRE</t>
        </is>
      </c>
      <c r="C916" s="14" t="n"/>
      <c r="E916" s="15">
        <f>IF($G916&lt;&gt;"PAGADO","",IFERROR(IF(VLOOKUP($A916,COMPRADORES!$A:$D,4,FALSE)="NO","Reservado",LEFT(VLOOKUP($A916,COMPRADORES!$A:$D,2,FALSE),3)&amp;"***"&amp;IF(TRIM(MID(VLOOKUP($A916,COMPRADORES!$A:$D,2,FALSE)&amp;" ",FIND(" ",VLOOKUP($A916,COMPRADORES!$A:$D,2,FALSE)&amp;" ")+1,99))="",""," "&amp;LEFT(TRIM(MID(VLOOKUP($A916,COMPRADORES!$A:$D,2,FALSE)&amp;" ",FIND(" ",VLOOKUP($A916,COMPRADORES!$A:$D,2,FALSE)&amp;" ")+1,99)),1)&amp;".")),""))</f>
        <v/>
      </c>
      <c r="F916" s="16">
        <f>IF($B916="PAGADO",MID("ABCDEFGHIJ",INT(VALUE($A916)/100)+1,1)&amp;"-"&amp;$A916,"")</f>
        <v/>
      </c>
      <c r="G916" s="16">
        <f>IF($B916="PAGADO","PAGADO",IF($B916="APARTADO",IF(NOT(ISNUMBER($C916)),"APARTADO",IF($C916&lt;1,"APARTADO",IF(NOW()-$C916&gt;1,"LIBRE","APARTADO"))),"LIBRE"))</f>
        <v/>
      </c>
      <c r="H916" s="15">
        <f>IF($G916&lt;&gt;"APARTADO","",IF(NOT(ISNUMBER($C916)),"FALTA LA HORA",IF($C916&lt;1,"FALTA LA FECHA",TEXT($C916+1,"dd/mm hh:mm"))))</f>
        <v/>
      </c>
    </row>
    <row r="917">
      <c r="A917" s="13" t="inlineStr">
        <is>
          <t>915</t>
        </is>
      </c>
      <c r="B917" t="inlineStr">
        <is>
          <t>LIBRE</t>
        </is>
      </c>
      <c r="C917" s="14" t="n"/>
      <c r="E917" s="15">
        <f>IF($G917&lt;&gt;"PAGADO","",IFERROR(IF(VLOOKUP($A917,COMPRADORES!$A:$D,4,FALSE)="NO","Reservado",LEFT(VLOOKUP($A917,COMPRADORES!$A:$D,2,FALSE),3)&amp;"***"&amp;IF(TRIM(MID(VLOOKUP($A917,COMPRADORES!$A:$D,2,FALSE)&amp;" ",FIND(" ",VLOOKUP($A917,COMPRADORES!$A:$D,2,FALSE)&amp;" ")+1,99))="",""," "&amp;LEFT(TRIM(MID(VLOOKUP($A917,COMPRADORES!$A:$D,2,FALSE)&amp;" ",FIND(" ",VLOOKUP($A917,COMPRADORES!$A:$D,2,FALSE)&amp;" ")+1,99)),1)&amp;".")),""))</f>
        <v/>
      </c>
      <c r="F917" s="16">
        <f>IF($B917="PAGADO",MID("ABCDEFGHIJ",INT(VALUE($A917)/100)+1,1)&amp;"-"&amp;$A917,"")</f>
        <v/>
      </c>
      <c r="G917" s="16">
        <f>IF($B917="PAGADO","PAGADO",IF($B917="APARTADO",IF(NOT(ISNUMBER($C917)),"APARTADO",IF($C917&lt;1,"APARTADO",IF(NOW()-$C917&gt;1,"LIBRE","APARTADO"))),"LIBRE"))</f>
        <v/>
      </c>
      <c r="H917" s="15">
        <f>IF($G917&lt;&gt;"APARTADO","",IF(NOT(ISNUMBER($C917)),"FALTA LA HORA",IF($C917&lt;1,"FALTA LA FECHA",TEXT($C917+1,"dd/mm hh:mm"))))</f>
        <v/>
      </c>
    </row>
    <row r="918">
      <c r="A918" s="13" t="inlineStr">
        <is>
          <t>916</t>
        </is>
      </c>
      <c r="B918" t="inlineStr">
        <is>
          <t>LIBRE</t>
        </is>
      </c>
      <c r="C918" s="14" t="n"/>
      <c r="E918" s="15">
        <f>IF($G918&lt;&gt;"PAGADO","",IFERROR(IF(VLOOKUP($A918,COMPRADORES!$A:$D,4,FALSE)="NO","Reservado",LEFT(VLOOKUP($A918,COMPRADORES!$A:$D,2,FALSE),3)&amp;"***"&amp;IF(TRIM(MID(VLOOKUP($A918,COMPRADORES!$A:$D,2,FALSE)&amp;" ",FIND(" ",VLOOKUP($A918,COMPRADORES!$A:$D,2,FALSE)&amp;" ")+1,99))="",""," "&amp;LEFT(TRIM(MID(VLOOKUP($A918,COMPRADORES!$A:$D,2,FALSE)&amp;" ",FIND(" ",VLOOKUP($A918,COMPRADORES!$A:$D,2,FALSE)&amp;" ")+1,99)),1)&amp;".")),""))</f>
        <v/>
      </c>
      <c r="F918" s="16">
        <f>IF($B918="PAGADO",MID("ABCDEFGHIJ",INT(VALUE($A918)/100)+1,1)&amp;"-"&amp;$A918,"")</f>
        <v/>
      </c>
      <c r="G918" s="16">
        <f>IF($B918="PAGADO","PAGADO",IF($B918="APARTADO",IF(NOT(ISNUMBER($C918)),"APARTADO",IF($C918&lt;1,"APARTADO",IF(NOW()-$C918&gt;1,"LIBRE","APARTADO"))),"LIBRE"))</f>
        <v/>
      </c>
      <c r="H918" s="15">
        <f>IF($G918&lt;&gt;"APARTADO","",IF(NOT(ISNUMBER($C918)),"FALTA LA HORA",IF($C918&lt;1,"FALTA LA FECHA",TEXT($C918+1,"dd/mm hh:mm"))))</f>
        <v/>
      </c>
    </row>
    <row r="919">
      <c r="A919" s="13" t="inlineStr">
        <is>
          <t>917</t>
        </is>
      </c>
      <c r="B919" t="inlineStr">
        <is>
          <t>LIBRE</t>
        </is>
      </c>
      <c r="C919" s="14" t="n"/>
      <c r="E919" s="15">
        <f>IF($G919&lt;&gt;"PAGADO","",IFERROR(IF(VLOOKUP($A919,COMPRADORES!$A:$D,4,FALSE)="NO","Reservado",LEFT(VLOOKUP($A919,COMPRADORES!$A:$D,2,FALSE),3)&amp;"***"&amp;IF(TRIM(MID(VLOOKUP($A919,COMPRADORES!$A:$D,2,FALSE)&amp;" ",FIND(" ",VLOOKUP($A919,COMPRADORES!$A:$D,2,FALSE)&amp;" ")+1,99))="",""," "&amp;LEFT(TRIM(MID(VLOOKUP($A919,COMPRADORES!$A:$D,2,FALSE)&amp;" ",FIND(" ",VLOOKUP($A919,COMPRADORES!$A:$D,2,FALSE)&amp;" ")+1,99)),1)&amp;".")),""))</f>
        <v/>
      </c>
      <c r="F919" s="16">
        <f>IF($B919="PAGADO",MID("ABCDEFGHIJ",INT(VALUE($A919)/100)+1,1)&amp;"-"&amp;$A919,"")</f>
        <v/>
      </c>
      <c r="G919" s="16">
        <f>IF($B919="PAGADO","PAGADO",IF($B919="APARTADO",IF(NOT(ISNUMBER($C919)),"APARTADO",IF($C919&lt;1,"APARTADO",IF(NOW()-$C919&gt;1,"LIBRE","APARTADO"))),"LIBRE"))</f>
        <v/>
      </c>
      <c r="H919" s="15">
        <f>IF($G919&lt;&gt;"APARTADO","",IF(NOT(ISNUMBER($C919)),"FALTA LA HORA",IF($C919&lt;1,"FALTA LA FECHA",TEXT($C919+1,"dd/mm hh:mm"))))</f>
        <v/>
      </c>
    </row>
    <row r="920">
      <c r="A920" s="13" t="inlineStr">
        <is>
          <t>918</t>
        </is>
      </c>
      <c r="B920" t="inlineStr">
        <is>
          <t>LIBRE</t>
        </is>
      </c>
      <c r="C920" s="14" t="n"/>
      <c r="E920" s="15">
        <f>IF($G920&lt;&gt;"PAGADO","",IFERROR(IF(VLOOKUP($A920,COMPRADORES!$A:$D,4,FALSE)="NO","Reservado",LEFT(VLOOKUP($A920,COMPRADORES!$A:$D,2,FALSE),3)&amp;"***"&amp;IF(TRIM(MID(VLOOKUP($A920,COMPRADORES!$A:$D,2,FALSE)&amp;" ",FIND(" ",VLOOKUP($A920,COMPRADORES!$A:$D,2,FALSE)&amp;" ")+1,99))="",""," "&amp;LEFT(TRIM(MID(VLOOKUP($A920,COMPRADORES!$A:$D,2,FALSE)&amp;" ",FIND(" ",VLOOKUP($A920,COMPRADORES!$A:$D,2,FALSE)&amp;" ")+1,99)),1)&amp;".")),""))</f>
        <v/>
      </c>
      <c r="F920" s="16">
        <f>IF($B920="PAGADO",MID("ABCDEFGHIJ",INT(VALUE($A920)/100)+1,1)&amp;"-"&amp;$A920,"")</f>
        <v/>
      </c>
      <c r="G920" s="16">
        <f>IF($B920="PAGADO","PAGADO",IF($B920="APARTADO",IF(NOT(ISNUMBER($C920)),"APARTADO",IF($C920&lt;1,"APARTADO",IF(NOW()-$C920&gt;1,"LIBRE","APARTADO"))),"LIBRE"))</f>
        <v/>
      </c>
      <c r="H920" s="15">
        <f>IF($G920&lt;&gt;"APARTADO","",IF(NOT(ISNUMBER($C920)),"FALTA LA HORA",IF($C920&lt;1,"FALTA LA FECHA",TEXT($C920+1,"dd/mm hh:mm"))))</f>
        <v/>
      </c>
    </row>
    <row r="921">
      <c r="A921" s="13" t="inlineStr">
        <is>
          <t>919</t>
        </is>
      </c>
      <c r="B921" t="inlineStr">
        <is>
          <t>LIBRE</t>
        </is>
      </c>
      <c r="C921" s="14" t="n"/>
      <c r="E921" s="15">
        <f>IF($G921&lt;&gt;"PAGADO","",IFERROR(IF(VLOOKUP($A921,COMPRADORES!$A:$D,4,FALSE)="NO","Reservado",LEFT(VLOOKUP($A921,COMPRADORES!$A:$D,2,FALSE),3)&amp;"***"&amp;IF(TRIM(MID(VLOOKUP($A921,COMPRADORES!$A:$D,2,FALSE)&amp;" ",FIND(" ",VLOOKUP($A921,COMPRADORES!$A:$D,2,FALSE)&amp;" ")+1,99))="",""," "&amp;LEFT(TRIM(MID(VLOOKUP($A921,COMPRADORES!$A:$D,2,FALSE)&amp;" ",FIND(" ",VLOOKUP($A921,COMPRADORES!$A:$D,2,FALSE)&amp;" ")+1,99)),1)&amp;".")),""))</f>
        <v/>
      </c>
      <c r="F921" s="16">
        <f>IF($B921="PAGADO",MID("ABCDEFGHIJ",INT(VALUE($A921)/100)+1,1)&amp;"-"&amp;$A921,"")</f>
        <v/>
      </c>
      <c r="G921" s="16">
        <f>IF($B921="PAGADO","PAGADO",IF($B921="APARTADO",IF(NOT(ISNUMBER($C921)),"APARTADO",IF($C921&lt;1,"APARTADO",IF(NOW()-$C921&gt;1,"LIBRE","APARTADO"))),"LIBRE"))</f>
        <v/>
      </c>
      <c r="H921" s="15">
        <f>IF($G921&lt;&gt;"APARTADO","",IF(NOT(ISNUMBER($C921)),"FALTA LA HORA",IF($C921&lt;1,"FALTA LA FECHA",TEXT($C921+1,"dd/mm hh:mm"))))</f>
        <v/>
      </c>
    </row>
    <row r="922">
      <c r="A922" s="13" t="inlineStr">
        <is>
          <t>920</t>
        </is>
      </c>
      <c r="B922" t="inlineStr">
        <is>
          <t>LIBRE</t>
        </is>
      </c>
      <c r="C922" s="14" t="n"/>
      <c r="E922" s="15">
        <f>IF($G922&lt;&gt;"PAGADO","",IFERROR(IF(VLOOKUP($A922,COMPRADORES!$A:$D,4,FALSE)="NO","Reservado",LEFT(VLOOKUP($A922,COMPRADORES!$A:$D,2,FALSE),3)&amp;"***"&amp;IF(TRIM(MID(VLOOKUP($A922,COMPRADORES!$A:$D,2,FALSE)&amp;" ",FIND(" ",VLOOKUP($A922,COMPRADORES!$A:$D,2,FALSE)&amp;" ")+1,99))="",""," "&amp;LEFT(TRIM(MID(VLOOKUP($A922,COMPRADORES!$A:$D,2,FALSE)&amp;" ",FIND(" ",VLOOKUP($A922,COMPRADORES!$A:$D,2,FALSE)&amp;" ")+1,99)),1)&amp;".")),""))</f>
        <v/>
      </c>
      <c r="F922" s="16">
        <f>IF($B922="PAGADO",MID("ABCDEFGHIJ",INT(VALUE($A922)/100)+1,1)&amp;"-"&amp;$A922,"")</f>
        <v/>
      </c>
      <c r="G922" s="16">
        <f>IF($B922="PAGADO","PAGADO",IF($B922="APARTADO",IF(NOT(ISNUMBER($C922)),"APARTADO",IF($C922&lt;1,"APARTADO",IF(NOW()-$C922&gt;1,"LIBRE","APARTADO"))),"LIBRE"))</f>
        <v/>
      </c>
      <c r="H922" s="15">
        <f>IF($G922&lt;&gt;"APARTADO","",IF(NOT(ISNUMBER($C922)),"FALTA LA HORA",IF($C922&lt;1,"FALTA LA FECHA",TEXT($C922+1,"dd/mm hh:mm"))))</f>
        <v/>
      </c>
    </row>
    <row r="923">
      <c r="A923" s="13" t="inlineStr">
        <is>
          <t>921</t>
        </is>
      </c>
      <c r="B923" t="inlineStr">
        <is>
          <t>LIBRE</t>
        </is>
      </c>
      <c r="C923" s="14" t="n"/>
      <c r="E923" s="15">
        <f>IF($G923&lt;&gt;"PAGADO","",IFERROR(IF(VLOOKUP($A923,COMPRADORES!$A:$D,4,FALSE)="NO","Reservado",LEFT(VLOOKUP($A923,COMPRADORES!$A:$D,2,FALSE),3)&amp;"***"&amp;IF(TRIM(MID(VLOOKUP($A923,COMPRADORES!$A:$D,2,FALSE)&amp;" ",FIND(" ",VLOOKUP($A923,COMPRADORES!$A:$D,2,FALSE)&amp;" ")+1,99))="",""," "&amp;LEFT(TRIM(MID(VLOOKUP($A923,COMPRADORES!$A:$D,2,FALSE)&amp;" ",FIND(" ",VLOOKUP($A923,COMPRADORES!$A:$D,2,FALSE)&amp;" ")+1,99)),1)&amp;".")),""))</f>
        <v/>
      </c>
      <c r="F923" s="16">
        <f>IF($B923="PAGADO",MID("ABCDEFGHIJ",INT(VALUE($A923)/100)+1,1)&amp;"-"&amp;$A923,"")</f>
        <v/>
      </c>
      <c r="G923" s="16">
        <f>IF($B923="PAGADO","PAGADO",IF($B923="APARTADO",IF(NOT(ISNUMBER($C923)),"APARTADO",IF($C923&lt;1,"APARTADO",IF(NOW()-$C923&gt;1,"LIBRE","APARTADO"))),"LIBRE"))</f>
        <v/>
      </c>
      <c r="H923" s="15">
        <f>IF($G923&lt;&gt;"APARTADO","",IF(NOT(ISNUMBER($C923)),"FALTA LA HORA",IF($C923&lt;1,"FALTA LA FECHA",TEXT($C923+1,"dd/mm hh:mm"))))</f>
        <v/>
      </c>
    </row>
    <row r="924">
      <c r="A924" s="13" t="inlineStr">
        <is>
          <t>922</t>
        </is>
      </c>
      <c r="B924" t="inlineStr">
        <is>
          <t>LIBRE</t>
        </is>
      </c>
      <c r="C924" s="14" t="n"/>
      <c r="E924" s="15">
        <f>IF($G924&lt;&gt;"PAGADO","",IFERROR(IF(VLOOKUP($A924,COMPRADORES!$A:$D,4,FALSE)="NO","Reservado",LEFT(VLOOKUP($A924,COMPRADORES!$A:$D,2,FALSE),3)&amp;"***"&amp;IF(TRIM(MID(VLOOKUP($A924,COMPRADORES!$A:$D,2,FALSE)&amp;" ",FIND(" ",VLOOKUP($A924,COMPRADORES!$A:$D,2,FALSE)&amp;" ")+1,99))="",""," "&amp;LEFT(TRIM(MID(VLOOKUP($A924,COMPRADORES!$A:$D,2,FALSE)&amp;" ",FIND(" ",VLOOKUP($A924,COMPRADORES!$A:$D,2,FALSE)&amp;" ")+1,99)),1)&amp;".")),""))</f>
        <v/>
      </c>
      <c r="F924" s="16">
        <f>IF($B924="PAGADO",MID("ABCDEFGHIJ",INT(VALUE($A924)/100)+1,1)&amp;"-"&amp;$A924,"")</f>
        <v/>
      </c>
      <c r="G924" s="16">
        <f>IF($B924="PAGADO","PAGADO",IF($B924="APARTADO",IF(NOT(ISNUMBER($C924)),"APARTADO",IF($C924&lt;1,"APARTADO",IF(NOW()-$C924&gt;1,"LIBRE","APARTADO"))),"LIBRE"))</f>
        <v/>
      </c>
      <c r="H924" s="15">
        <f>IF($G924&lt;&gt;"APARTADO","",IF(NOT(ISNUMBER($C924)),"FALTA LA HORA",IF($C924&lt;1,"FALTA LA FECHA",TEXT($C924+1,"dd/mm hh:mm"))))</f>
        <v/>
      </c>
    </row>
    <row r="925">
      <c r="A925" s="13" t="inlineStr">
        <is>
          <t>923</t>
        </is>
      </c>
      <c r="B925" t="inlineStr">
        <is>
          <t>LIBRE</t>
        </is>
      </c>
      <c r="C925" s="14" t="n"/>
      <c r="E925" s="15">
        <f>IF($G925&lt;&gt;"PAGADO","",IFERROR(IF(VLOOKUP($A925,COMPRADORES!$A:$D,4,FALSE)="NO","Reservado",LEFT(VLOOKUP($A925,COMPRADORES!$A:$D,2,FALSE),3)&amp;"***"&amp;IF(TRIM(MID(VLOOKUP($A925,COMPRADORES!$A:$D,2,FALSE)&amp;" ",FIND(" ",VLOOKUP($A925,COMPRADORES!$A:$D,2,FALSE)&amp;" ")+1,99))="",""," "&amp;LEFT(TRIM(MID(VLOOKUP($A925,COMPRADORES!$A:$D,2,FALSE)&amp;" ",FIND(" ",VLOOKUP($A925,COMPRADORES!$A:$D,2,FALSE)&amp;" ")+1,99)),1)&amp;".")),""))</f>
        <v/>
      </c>
      <c r="F925" s="16">
        <f>IF($B925="PAGADO",MID("ABCDEFGHIJ",INT(VALUE($A925)/100)+1,1)&amp;"-"&amp;$A925,"")</f>
        <v/>
      </c>
      <c r="G925" s="16">
        <f>IF($B925="PAGADO","PAGADO",IF($B925="APARTADO",IF(NOT(ISNUMBER($C925)),"APARTADO",IF($C925&lt;1,"APARTADO",IF(NOW()-$C925&gt;1,"LIBRE","APARTADO"))),"LIBRE"))</f>
        <v/>
      </c>
      <c r="H925" s="15">
        <f>IF($G925&lt;&gt;"APARTADO","",IF(NOT(ISNUMBER($C925)),"FALTA LA HORA",IF($C925&lt;1,"FALTA LA FECHA",TEXT($C925+1,"dd/mm hh:mm"))))</f>
        <v/>
      </c>
    </row>
    <row r="926">
      <c r="A926" s="13" t="inlineStr">
        <is>
          <t>924</t>
        </is>
      </c>
      <c r="B926" t="inlineStr">
        <is>
          <t>LIBRE</t>
        </is>
      </c>
      <c r="C926" s="14" t="n"/>
      <c r="E926" s="15">
        <f>IF($G926&lt;&gt;"PAGADO","",IFERROR(IF(VLOOKUP($A926,COMPRADORES!$A:$D,4,FALSE)="NO","Reservado",LEFT(VLOOKUP($A926,COMPRADORES!$A:$D,2,FALSE),3)&amp;"***"&amp;IF(TRIM(MID(VLOOKUP($A926,COMPRADORES!$A:$D,2,FALSE)&amp;" ",FIND(" ",VLOOKUP($A926,COMPRADORES!$A:$D,2,FALSE)&amp;" ")+1,99))="",""," "&amp;LEFT(TRIM(MID(VLOOKUP($A926,COMPRADORES!$A:$D,2,FALSE)&amp;" ",FIND(" ",VLOOKUP($A926,COMPRADORES!$A:$D,2,FALSE)&amp;" ")+1,99)),1)&amp;".")),""))</f>
        <v/>
      </c>
      <c r="F926" s="16">
        <f>IF($B926="PAGADO",MID("ABCDEFGHIJ",INT(VALUE($A926)/100)+1,1)&amp;"-"&amp;$A926,"")</f>
        <v/>
      </c>
      <c r="G926" s="16">
        <f>IF($B926="PAGADO","PAGADO",IF($B926="APARTADO",IF(NOT(ISNUMBER($C926)),"APARTADO",IF($C926&lt;1,"APARTADO",IF(NOW()-$C926&gt;1,"LIBRE","APARTADO"))),"LIBRE"))</f>
        <v/>
      </c>
      <c r="H926" s="15">
        <f>IF($G926&lt;&gt;"APARTADO","",IF(NOT(ISNUMBER($C926)),"FALTA LA HORA",IF($C926&lt;1,"FALTA LA FECHA",TEXT($C926+1,"dd/mm hh:mm"))))</f>
        <v/>
      </c>
    </row>
    <row r="927">
      <c r="A927" s="13" t="inlineStr">
        <is>
          <t>925</t>
        </is>
      </c>
      <c r="B927" t="inlineStr">
        <is>
          <t>LIBRE</t>
        </is>
      </c>
      <c r="C927" s="14" t="n"/>
      <c r="E927" s="15">
        <f>IF($G927&lt;&gt;"PAGADO","",IFERROR(IF(VLOOKUP($A927,COMPRADORES!$A:$D,4,FALSE)="NO","Reservado",LEFT(VLOOKUP($A927,COMPRADORES!$A:$D,2,FALSE),3)&amp;"***"&amp;IF(TRIM(MID(VLOOKUP($A927,COMPRADORES!$A:$D,2,FALSE)&amp;" ",FIND(" ",VLOOKUP($A927,COMPRADORES!$A:$D,2,FALSE)&amp;" ")+1,99))="",""," "&amp;LEFT(TRIM(MID(VLOOKUP($A927,COMPRADORES!$A:$D,2,FALSE)&amp;" ",FIND(" ",VLOOKUP($A927,COMPRADORES!$A:$D,2,FALSE)&amp;" ")+1,99)),1)&amp;".")),""))</f>
        <v/>
      </c>
      <c r="F927" s="16">
        <f>IF($B927="PAGADO",MID("ABCDEFGHIJ",INT(VALUE($A927)/100)+1,1)&amp;"-"&amp;$A927,"")</f>
        <v/>
      </c>
      <c r="G927" s="16">
        <f>IF($B927="PAGADO","PAGADO",IF($B927="APARTADO",IF(NOT(ISNUMBER($C927)),"APARTADO",IF($C927&lt;1,"APARTADO",IF(NOW()-$C927&gt;1,"LIBRE","APARTADO"))),"LIBRE"))</f>
        <v/>
      </c>
      <c r="H927" s="15">
        <f>IF($G927&lt;&gt;"APARTADO","",IF(NOT(ISNUMBER($C927)),"FALTA LA HORA",IF($C927&lt;1,"FALTA LA FECHA",TEXT($C927+1,"dd/mm hh:mm"))))</f>
        <v/>
      </c>
    </row>
    <row r="928">
      <c r="A928" s="13" t="inlineStr">
        <is>
          <t>926</t>
        </is>
      </c>
      <c r="B928" t="inlineStr">
        <is>
          <t>LIBRE</t>
        </is>
      </c>
      <c r="C928" s="14" t="n"/>
      <c r="E928" s="15">
        <f>IF($G928&lt;&gt;"PAGADO","",IFERROR(IF(VLOOKUP($A928,COMPRADORES!$A:$D,4,FALSE)="NO","Reservado",LEFT(VLOOKUP($A928,COMPRADORES!$A:$D,2,FALSE),3)&amp;"***"&amp;IF(TRIM(MID(VLOOKUP($A928,COMPRADORES!$A:$D,2,FALSE)&amp;" ",FIND(" ",VLOOKUP($A928,COMPRADORES!$A:$D,2,FALSE)&amp;" ")+1,99))="",""," "&amp;LEFT(TRIM(MID(VLOOKUP($A928,COMPRADORES!$A:$D,2,FALSE)&amp;" ",FIND(" ",VLOOKUP($A928,COMPRADORES!$A:$D,2,FALSE)&amp;" ")+1,99)),1)&amp;".")),""))</f>
        <v/>
      </c>
      <c r="F928" s="16">
        <f>IF($B928="PAGADO",MID("ABCDEFGHIJ",INT(VALUE($A928)/100)+1,1)&amp;"-"&amp;$A928,"")</f>
        <v/>
      </c>
      <c r="G928" s="16">
        <f>IF($B928="PAGADO","PAGADO",IF($B928="APARTADO",IF(NOT(ISNUMBER($C928)),"APARTADO",IF($C928&lt;1,"APARTADO",IF(NOW()-$C928&gt;1,"LIBRE","APARTADO"))),"LIBRE"))</f>
        <v/>
      </c>
      <c r="H928" s="15">
        <f>IF($G928&lt;&gt;"APARTADO","",IF(NOT(ISNUMBER($C928)),"FALTA LA HORA",IF($C928&lt;1,"FALTA LA FECHA",TEXT($C928+1,"dd/mm hh:mm"))))</f>
        <v/>
      </c>
    </row>
    <row r="929">
      <c r="A929" s="13" t="inlineStr">
        <is>
          <t>927</t>
        </is>
      </c>
      <c r="B929" t="inlineStr">
        <is>
          <t>LIBRE</t>
        </is>
      </c>
      <c r="C929" s="14" t="n"/>
      <c r="E929" s="15">
        <f>IF($G929&lt;&gt;"PAGADO","",IFERROR(IF(VLOOKUP($A929,COMPRADORES!$A:$D,4,FALSE)="NO","Reservado",LEFT(VLOOKUP($A929,COMPRADORES!$A:$D,2,FALSE),3)&amp;"***"&amp;IF(TRIM(MID(VLOOKUP($A929,COMPRADORES!$A:$D,2,FALSE)&amp;" ",FIND(" ",VLOOKUP($A929,COMPRADORES!$A:$D,2,FALSE)&amp;" ")+1,99))="",""," "&amp;LEFT(TRIM(MID(VLOOKUP($A929,COMPRADORES!$A:$D,2,FALSE)&amp;" ",FIND(" ",VLOOKUP($A929,COMPRADORES!$A:$D,2,FALSE)&amp;" ")+1,99)),1)&amp;".")),""))</f>
        <v/>
      </c>
      <c r="F929" s="16">
        <f>IF($B929="PAGADO",MID("ABCDEFGHIJ",INT(VALUE($A929)/100)+1,1)&amp;"-"&amp;$A929,"")</f>
        <v/>
      </c>
      <c r="G929" s="16">
        <f>IF($B929="PAGADO","PAGADO",IF($B929="APARTADO",IF(NOT(ISNUMBER($C929)),"APARTADO",IF($C929&lt;1,"APARTADO",IF(NOW()-$C929&gt;1,"LIBRE","APARTADO"))),"LIBRE"))</f>
        <v/>
      </c>
      <c r="H929" s="15">
        <f>IF($G929&lt;&gt;"APARTADO","",IF(NOT(ISNUMBER($C929)),"FALTA LA HORA",IF($C929&lt;1,"FALTA LA FECHA",TEXT($C929+1,"dd/mm hh:mm"))))</f>
        <v/>
      </c>
    </row>
    <row r="930">
      <c r="A930" s="13" t="inlineStr">
        <is>
          <t>928</t>
        </is>
      </c>
      <c r="B930" t="inlineStr">
        <is>
          <t>LIBRE</t>
        </is>
      </c>
      <c r="C930" s="14" t="n"/>
      <c r="E930" s="15">
        <f>IF($G930&lt;&gt;"PAGADO","",IFERROR(IF(VLOOKUP($A930,COMPRADORES!$A:$D,4,FALSE)="NO","Reservado",LEFT(VLOOKUP($A930,COMPRADORES!$A:$D,2,FALSE),3)&amp;"***"&amp;IF(TRIM(MID(VLOOKUP($A930,COMPRADORES!$A:$D,2,FALSE)&amp;" ",FIND(" ",VLOOKUP($A930,COMPRADORES!$A:$D,2,FALSE)&amp;" ")+1,99))="",""," "&amp;LEFT(TRIM(MID(VLOOKUP($A930,COMPRADORES!$A:$D,2,FALSE)&amp;" ",FIND(" ",VLOOKUP($A930,COMPRADORES!$A:$D,2,FALSE)&amp;" ")+1,99)),1)&amp;".")),""))</f>
        <v/>
      </c>
      <c r="F930" s="16">
        <f>IF($B930="PAGADO",MID("ABCDEFGHIJ",INT(VALUE($A930)/100)+1,1)&amp;"-"&amp;$A930,"")</f>
        <v/>
      </c>
      <c r="G930" s="16">
        <f>IF($B930="PAGADO","PAGADO",IF($B930="APARTADO",IF(NOT(ISNUMBER($C930)),"APARTADO",IF($C930&lt;1,"APARTADO",IF(NOW()-$C930&gt;1,"LIBRE","APARTADO"))),"LIBRE"))</f>
        <v/>
      </c>
      <c r="H930" s="15">
        <f>IF($G930&lt;&gt;"APARTADO","",IF(NOT(ISNUMBER($C930)),"FALTA LA HORA",IF($C930&lt;1,"FALTA LA FECHA",TEXT($C930+1,"dd/mm hh:mm"))))</f>
        <v/>
      </c>
    </row>
    <row r="931">
      <c r="A931" s="13" t="inlineStr">
        <is>
          <t>929</t>
        </is>
      </c>
      <c r="B931" t="inlineStr">
        <is>
          <t>LIBRE</t>
        </is>
      </c>
      <c r="C931" s="14" t="n"/>
      <c r="E931" s="15">
        <f>IF($G931&lt;&gt;"PAGADO","",IFERROR(IF(VLOOKUP($A931,COMPRADORES!$A:$D,4,FALSE)="NO","Reservado",LEFT(VLOOKUP($A931,COMPRADORES!$A:$D,2,FALSE),3)&amp;"***"&amp;IF(TRIM(MID(VLOOKUP($A931,COMPRADORES!$A:$D,2,FALSE)&amp;" ",FIND(" ",VLOOKUP($A931,COMPRADORES!$A:$D,2,FALSE)&amp;" ")+1,99))="",""," "&amp;LEFT(TRIM(MID(VLOOKUP($A931,COMPRADORES!$A:$D,2,FALSE)&amp;" ",FIND(" ",VLOOKUP($A931,COMPRADORES!$A:$D,2,FALSE)&amp;" ")+1,99)),1)&amp;".")),""))</f>
        <v/>
      </c>
      <c r="F931" s="16">
        <f>IF($B931="PAGADO",MID("ABCDEFGHIJ",INT(VALUE($A931)/100)+1,1)&amp;"-"&amp;$A931,"")</f>
        <v/>
      </c>
      <c r="G931" s="16">
        <f>IF($B931="PAGADO","PAGADO",IF($B931="APARTADO",IF(NOT(ISNUMBER($C931)),"APARTADO",IF($C931&lt;1,"APARTADO",IF(NOW()-$C931&gt;1,"LIBRE","APARTADO"))),"LIBRE"))</f>
        <v/>
      </c>
      <c r="H931" s="15">
        <f>IF($G931&lt;&gt;"APARTADO","",IF(NOT(ISNUMBER($C931)),"FALTA LA HORA",IF($C931&lt;1,"FALTA LA FECHA",TEXT($C931+1,"dd/mm hh:mm"))))</f>
        <v/>
      </c>
    </row>
    <row r="932">
      <c r="A932" s="13" t="inlineStr">
        <is>
          <t>930</t>
        </is>
      </c>
      <c r="B932" t="inlineStr">
        <is>
          <t>LIBRE</t>
        </is>
      </c>
      <c r="C932" s="14" t="n"/>
      <c r="E932" s="15">
        <f>IF($G932&lt;&gt;"PAGADO","",IFERROR(IF(VLOOKUP($A932,COMPRADORES!$A:$D,4,FALSE)="NO","Reservado",LEFT(VLOOKUP($A932,COMPRADORES!$A:$D,2,FALSE),3)&amp;"***"&amp;IF(TRIM(MID(VLOOKUP($A932,COMPRADORES!$A:$D,2,FALSE)&amp;" ",FIND(" ",VLOOKUP($A932,COMPRADORES!$A:$D,2,FALSE)&amp;" ")+1,99))="",""," "&amp;LEFT(TRIM(MID(VLOOKUP($A932,COMPRADORES!$A:$D,2,FALSE)&amp;" ",FIND(" ",VLOOKUP($A932,COMPRADORES!$A:$D,2,FALSE)&amp;" ")+1,99)),1)&amp;".")),""))</f>
        <v/>
      </c>
      <c r="F932" s="16">
        <f>IF($B932="PAGADO",MID("ABCDEFGHIJ",INT(VALUE($A932)/100)+1,1)&amp;"-"&amp;$A932,"")</f>
        <v/>
      </c>
      <c r="G932" s="16">
        <f>IF($B932="PAGADO","PAGADO",IF($B932="APARTADO",IF(NOT(ISNUMBER($C932)),"APARTADO",IF($C932&lt;1,"APARTADO",IF(NOW()-$C932&gt;1,"LIBRE","APARTADO"))),"LIBRE"))</f>
        <v/>
      </c>
      <c r="H932" s="15">
        <f>IF($G932&lt;&gt;"APARTADO","",IF(NOT(ISNUMBER($C932)),"FALTA LA HORA",IF($C932&lt;1,"FALTA LA FECHA",TEXT($C932+1,"dd/mm hh:mm"))))</f>
        <v/>
      </c>
    </row>
    <row r="933">
      <c r="A933" s="13" t="inlineStr">
        <is>
          <t>931</t>
        </is>
      </c>
      <c r="B933" t="inlineStr">
        <is>
          <t>LIBRE</t>
        </is>
      </c>
      <c r="C933" s="14" t="n"/>
      <c r="E933" s="15">
        <f>IF($G933&lt;&gt;"PAGADO","",IFERROR(IF(VLOOKUP($A933,COMPRADORES!$A:$D,4,FALSE)="NO","Reservado",LEFT(VLOOKUP($A933,COMPRADORES!$A:$D,2,FALSE),3)&amp;"***"&amp;IF(TRIM(MID(VLOOKUP($A933,COMPRADORES!$A:$D,2,FALSE)&amp;" ",FIND(" ",VLOOKUP($A933,COMPRADORES!$A:$D,2,FALSE)&amp;" ")+1,99))="",""," "&amp;LEFT(TRIM(MID(VLOOKUP($A933,COMPRADORES!$A:$D,2,FALSE)&amp;" ",FIND(" ",VLOOKUP($A933,COMPRADORES!$A:$D,2,FALSE)&amp;" ")+1,99)),1)&amp;".")),""))</f>
        <v/>
      </c>
      <c r="F933" s="16">
        <f>IF($B933="PAGADO",MID("ABCDEFGHIJ",INT(VALUE($A933)/100)+1,1)&amp;"-"&amp;$A933,"")</f>
        <v/>
      </c>
      <c r="G933" s="16">
        <f>IF($B933="PAGADO","PAGADO",IF($B933="APARTADO",IF(NOT(ISNUMBER($C933)),"APARTADO",IF($C933&lt;1,"APARTADO",IF(NOW()-$C933&gt;1,"LIBRE","APARTADO"))),"LIBRE"))</f>
        <v/>
      </c>
      <c r="H933" s="15">
        <f>IF($G933&lt;&gt;"APARTADO","",IF(NOT(ISNUMBER($C933)),"FALTA LA HORA",IF($C933&lt;1,"FALTA LA FECHA",TEXT($C933+1,"dd/mm hh:mm"))))</f>
        <v/>
      </c>
    </row>
    <row r="934">
      <c r="A934" s="13" t="inlineStr">
        <is>
          <t>932</t>
        </is>
      </c>
      <c r="B934" t="inlineStr">
        <is>
          <t>LIBRE</t>
        </is>
      </c>
      <c r="C934" s="14" t="n"/>
      <c r="E934" s="15">
        <f>IF($G934&lt;&gt;"PAGADO","",IFERROR(IF(VLOOKUP($A934,COMPRADORES!$A:$D,4,FALSE)="NO","Reservado",LEFT(VLOOKUP($A934,COMPRADORES!$A:$D,2,FALSE),3)&amp;"***"&amp;IF(TRIM(MID(VLOOKUP($A934,COMPRADORES!$A:$D,2,FALSE)&amp;" ",FIND(" ",VLOOKUP($A934,COMPRADORES!$A:$D,2,FALSE)&amp;" ")+1,99))="",""," "&amp;LEFT(TRIM(MID(VLOOKUP($A934,COMPRADORES!$A:$D,2,FALSE)&amp;" ",FIND(" ",VLOOKUP($A934,COMPRADORES!$A:$D,2,FALSE)&amp;" ")+1,99)),1)&amp;".")),""))</f>
        <v/>
      </c>
      <c r="F934" s="16">
        <f>IF($B934="PAGADO",MID("ABCDEFGHIJ",INT(VALUE($A934)/100)+1,1)&amp;"-"&amp;$A934,"")</f>
        <v/>
      </c>
      <c r="G934" s="16">
        <f>IF($B934="PAGADO","PAGADO",IF($B934="APARTADO",IF(NOT(ISNUMBER($C934)),"APARTADO",IF($C934&lt;1,"APARTADO",IF(NOW()-$C934&gt;1,"LIBRE","APARTADO"))),"LIBRE"))</f>
        <v/>
      </c>
      <c r="H934" s="15">
        <f>IF($G934&lt;&gt;"APARTADO","",IF(NOT(ISNUMBER($C934)),"FALTA LA HORA",IF($C934&lt;1,"FALTA LA FECHA",TEXT($C934+1,"dd/mm hh:mm"))))</f>
        <v/>
      </c>
    </row>
    <row r="935">
      <c r="A935" s="13" t="inlineStr">
        <is>
          <t>933</t>
        </is>
      </c>
      <c r="B935" t="inlineStr">
        <is>
          <t>LIBRE</t>
        </is>
      </c>
      <c r="C935" s="14" t="n"/>
      <c r="E935" s="15">
        <f>IF($G935&lt;&gt;"PAGADO","",IFERROR(IF(VLOOKUP($A935,COMPRADORES!$A:$D,4,FALSE)="NO","Reservado",LEFT(VLOOKUP($A935,COMPRADORES!$A:$D,2,FALSE),3)&amp;"***"&amp;IF(TRIM(MID(VLOOKUP($A935,COMPRADORES!$A:$D,2,FALSE)&amp;" ",FIND(" ",VLOOKUP($A935,COMPRADORES!$A:$D,2,FALSE)&amp;" ")+1,99))="",""," "&amp;LEFT(TRIM(MID(VLOOKUP($A935,COMPRADORES!$A:$D,2,FALSE)&amp;" ",FIND(" ",VLOOKUP($A935,COMPRADORES!$A:$D,2,FALSE)&amp;" ")+1,99)),1)&amp;".")),""))</f>
        <v/>
      </c>
      <c r="F935" s="16">
        <f>IF($B935="PAGADO",MID("ABCDEFGHIJ",INT(VALUE($A935)/100)+1,1)&amp;"-"&amp;$A935,"")</f>
        <v/>
      </c>
      <c r="G935" s="16">
        <f>IF($B935="PAGADO","PAGADO",IF($B935="APARTADO",IF(NOT(ISNUMBER($C935)),"APARTADO",IF($C935&lt;1,"APARTADO",IF(NOW()-$C935&gt;1,"LIBRE","APARTADO"))),"LIBRE"))</f>
        <v/>
      </c>
      <c r="H935" s="15">
        <f>IF($G935&lt;&gt;"APARTADO","",IF(NOT(ISNUMBER($C935)),"FALTA LA HORA",IF($C935&lt;1,"FALTA LA FECHA",TEXT($C935+1,"dd/mm hh:mm"))))</f>
        <v/>
      </c>
    </row>
    <row r="936">
      <c r="A936" s="13" t="inlineStr">
        <is>
          <t>934</t>
        </is>
      </c>
      <c r="B936" t="inlineStr">
        <is>
          <t>LIBRE</t>
        </is>
      </c>
      <c r="C936" s="14" t="n"/>
      <c r="E936" s="15">
        <f>IF($G936&lt;&gt;"PAGADO","",IFERROR(IF(VLOOKUP($A936,COMPRADORES!$A:$D,4,FALSE)="NO","Reservado",LEFT(VLOOKUP($A936,COMPRADORES!$A:$D,2,FALSE),3)&amp;"***"&amp;IF(TRIM(MID(VLOOKUP($A936,COMPRADORES!$A:$D,2,FALSE)&amp;" ",FIND(" ",VLOOKUP($A936,COMPRADORES!$A:$D,2,FALSE)&amp;" ")+1,99))="",""," "&amp;LEFT(TRIM(MID(VLOOKUP($A936,COMPRADORES!$A:$D,2,FALSE)&amp;" ",FIND(" ",VLOOKUP($A936,COMPRADORES!$A:$D,2,FALSE)&amp;" ")+1,99)),1)&amp;".")),""))</f>
        <v/>
      </c>
      <c r="F936" s="16">
        <f>IF($B936="PAGADO",MID("ABCDEFGHIJ",INT(VALUE($A936)/100)+1,1)&amp;"-"&amp;$A936,"")</f>
        <v/>
      </c>
      <c r="G936" s="16">
        <f>IF($B936="PAGADO","PAGADO",IF($B936="APARTADO",IF(NOT(ISNUMBER($C936)),"APARTADO",IF($C936&lt;1,"APARTADO",IF(NOW()-$C936&gt;1,"LIBRE","APARTADO"))),"LIBRE"))</f>
        <v/>
      </c>
      <c r="H936" s="15">
        <f>IF($G936&lt;&gt;"APARTADO","",IF(NOT(ISNUMBER($C936)),"FALTA LA HORA",IF($C936&lt;1,"FALTA LA FECHA",TEXT($C936+1,"dd/mm hh:mm"))))</f>
        <v/>
      </c>
    </row>
    <row r="937">
      <c r="A937" s="13" t="inlineStr">
        <is>
          <t>935</t>
        </is>
      </c>
      <c r="B937" t="inlineStr">
        <is>
          <t>LIBRE</t>
        </is>
      </c>
      <c r="C937" s="14" t="n"/>
      <c r="E937" s="15">
        <f>IF($G937&lt;&gt;"PAGADO","",IFERROR(IF(VLOOKUP($A937,COMPRADORES!$A:$D,4,FALSE)="NO","Reservado",LEFT(VLOOKUP($A937,COMPRADORES!$A:$D,2,FALSE),3)&amp;"***"&amp;IF(TRIM(MID(VLOOKUP($A937,COMPRADORES!$A:$D,2,FALSE)&amp;" ",FIND(" ",VLOOKUP($A937,COMPRADORES!$A:$D,2,FALSE)&amp;" ")+1,99))="",""," "&amp;LEFT(TRIM(MID(VLOOKUP($A937,COMPRADORES!$A:$D,2,FALSE)&amp;" ",FIND(" ",VLOOKUP($A937,COMPRADORES!$A:$D,2,FALSE)&amp;" ")+1,99)),1)&amp;".")),""))</f>
        <v/>
      </c>
      <c r="F937" s="16">
        <f>IF($B937="PAGADO",MID("ABCDEFGHIJ",INT(VALUE($A937)/100)+1,1)&amp;"-"&amp;$A937,"")</f>
        <v/>
      </c>
      <c r="G937" s="16">
        <f>IF($B937="PAGADO","PAGADO",IF($B937="APARTADO",IF(NOT(ISNUMBER($C937)),"APARTADO",IF($C937&lt;1,"APARTADO",IF(NOW()-$C937&gt;1,"LIBRE","APARTADO"))),"LIBRE"))</f>
        <v/>
      </c>
      <c r="H937" s="15">
        <f>IF($G937&lt;&gt;"APARTADO","",IF(NOT(ISNUMBER($C937)),"FALTA LA HORA",IF($C937&lt;1,"FALTA LA FECHA",TEXT($C937+1,"dd/mm hh:mm"))))</f>
        <v/>
      </c>
    </row>
    <row r="938">
      <c r="A938" s="13" t="inlineStr">
        <is>
          <t>936</t>
        </is>
      </c>
      <c r="B938" t="inlineStr">
        <is>
          <t>LIBRE</t>
        </is>
      </c>
      <c r="C938" s="14" t="n"/>
      <c r="E938" s="15">
        <f>IF($G938&lt;&gt;"PAGADO","",IFERROR(IF(VLOOKUP($A938,COMPRADORES!$A:$D,4,FALSE)="NO","Reservado",LEFT(VLOOKUP($A938,COMPRADORES!$A:$D,2,FALSE),3)&amp;"***"&amp;IF(TRIM(MID(VLOOKUP($A938,COMPRADORES!$A:$D,2,FALSE)&amp;" ",FIND(" ",VLOOKUP($A938,COMPRADORES!$A:$D,2,FALSE)&amp;" ")+1,99))="",""," "&amp;LEFT(TRIM(MID(VLOOKUP($A938,COMPRADORES!$A:$D,2,FALSE)&amp;" ",FIND(" ",VLOOKUP($A938,COMPRADORES!$A:$D,2,FALSE)&amp;" ")+1,99)),1)&amp;".")),""))</f>
        <v/>
      </c>
      <c r="F938" s="16">
        <f>IF($B938="PAGADO",MID("ABCDEFGHIJ",INT(VALUE($A938)/100)+1,1)&amp;"-"&amp;$A938,"")</f>
        <v/>
      </c>
      <c r="G938" s="16">
        <f>IF($B938="PAGADO","PAGADO",IF($B938="APARTADO",IF(NOT(ISNUMBER($C938)),"APARTADO",IF($C938&lt;1,"APARTADO",IF(NOW()-$C938&gt;1,"LIBRE","APARTADO"))),"LIBRE"))</f>
        <v/>
      </c>
      <c r="H938" s="15">
        <f>IF($G938&lt;&gt;"APARTADO","",IF(NOT(ISNUMBER($C938)),"FALTA LA HORA",IF($C938&lt;1,"FALTA LA FECHA",TEXT($C938+1,"dd/mm hh:mm"))))</f>
        <v/>
      </c>
    </row>
    <row r="939">
      <c r="A939" s="13" t="inlineStr">
        <is>
          <t>937</t>
        </is>
      </c>
      <c r="B939" t="inlineStr">
        <is>
          <t>LIBRE</t>
        </is>
      </c>
      <c r="C939" s="14" t="n"/>
      <c r="E939" s="15">
        <f>IF($G939&lt;&gt;"PAGADO","",IFERROR(IF(VLOOKUP($A939,COMPRADORES!$A:$D,4,FALSE)="NO","Reservado",LEFT(VLOOKUP($A939,COMPRADORES!$A:$D,2,FALSE),3)&amp;"***"&amp;IF(TRIM(MID(VLOOKUP($A939,COMPRADORES!$A:$D,2,FALSE)&amp;" ",FIND(" ",VLOOKUP($A939,COMPRADORES!$A:$D,2,FALSE)&amp;" ")+1,99))="",""," "&amp;LEFT(TRIM(MID(VLOOKUP($A939,COMPRADORES!$A:$D,2,FALSE)&amp;" ",FIND(" ",VLOOKUP($A939,COMPRADORES!$A:$D,2,FALSE)&amp;" ")+1,99)),1)&amp;".")),""))</f>
        <v/>
      </c>
      <c r="F939" s="16">
        <f>IF($B939="PAGADO",MID("ABCDEFGHIJ",INT(VALUE($A939)/100)+1,1)&amp;"-"&amp;$A939,"")</f>
        <v/>
      </c>
      <c r="G939" s="16">
        <f>IF($B939="PAGADO","PAGADO",IF($B939="APARTADO",IF(NOT(ISNUMBER($C939)),"APARTADO",IF($C939&lt;1,"APARTADO",IF(NOW()-$C939&gt;1,"LIBRE","APARTADO"))),"LIBRE"))</f>
        <v/>
      </c>
      <c r="H939" s="15">
        <f>IF($G939&lt;&gt;"APARTADO","",IF(NOT(ISNUMBER($C939)),"FALTA LA HORA",IF($C939&lt;1,"FALTA LA FECHA",TEXT($C939+1,"dd/mm hh:mm"))))</f>
        <v/>
      </c>
    </row>
    <row r="940">
      <c r="A940" s="13" t="inlineStr">
        <is>
          <t>938</t>
        </is>
      </c>
      <c r="B940" t="inlineStr">
        <is>
          <t>LIBRE</t>
        </is>
      </c>
      <c r="C940" s="14" t="n"/>
      <c r="E940" s="15">
        <f>IF($G940&lt;&gt;"PAGADO","",IFERROR(IF(VLOOKUP($A940,COMPRADORES!$A:$D,4,FALSE)="NO","Reservado",LEFT(VLOOKUP($A940,COMPRADORES!$A:$D,2,FALSE),3)&amp;"***"&amp;IF(TRIM(MID(VLOOKUP($A940,COMPRADORES!$A:$D,2,FALSE)&amp;" ",FIND(" ",VLOOKUP($A940,COMPRADORES!$A:$D,2,FALSE)&amp;" ")+1,99))="",""," "&amp;LEFT(TRIM(MID(VLOOKUP($A940,COMPRADORES!$A:$D,2,FALSE)&amp;" ",FIND(" ",VLOOKUP($A940,COMPRADORES!$A:$D,2,FALSE)&amp;" ")+1,99)),1)&amp;".")),""))</f>
        <v/>
      </c>
      <c r="F940" s="16">
        <f>IF($B940="PAGADO",MID("ABCDEFGHIJ",INT(VALUE($A940)/100)+1,1)&amp;"-"&amp;$A940,"")</f>
        <v/>
      </c>
      <c r="G940" s="16">
        <f>IF($B940="PAGADO","PAGADO",IF($B940="APARTADO",IF(NOT(ISNUMBER($C940)),"APARTADO",IF($C940&lt;1,"APARTADO",IF(NOW()-$C940&gt;1,"LIBRE","APARTADO"))),"LIBRE"))</f>
        <v/>
      </c>
      <c r="H940" s="15">
        <f>IF($G940&lt;&gt;"APARTADO","",IF(NOT(ISNUMBER($C940)),"FALTA LA HORA",IF($C940&lt;1,"FALTA LA FECHA",TEXT($C940+1,"dd/mm hh:mm"))))</f>
        <v/>
      </c>
    </row>
    <row r="941">
      <c r="A941" s="13" t="inlineStr">
        <is>
          <t>939</t>
        </is>
      </c>
      <c r="B941" t="inlineStr">
        <is>
          <t>LIBRE</t>
        </is>
      </c>
      <c r="C941" s="14" t="n"/>
      <c r="E941" s="15">
        <f>IF($G941&lt;&gt;"PAGADO","",IFERROR(IF(VLOOKUP($A941,COMPRADORES!$A:$D,4,FALSE)="NO","Reservado",LEFT(VLOOKUP($A941,COMPRADORES!$A:$D,2,FALSE),3)&amp;"***"&amp;IF(TRIM(MID(VLOOKUP($A941,COMPRADORES!$A:$D,2,FALSE)&amp;" ",FIND(" ",VLOOKUP($A941,COMPRADORES!$A:$D,2,FALSE)&amp;" ")+1,99))="",""," "&amp;LEFT(TRIM(MID(VLOOKUP($A941,COMPRADORES!$A:$D,2,FALSE)&amp;" ",FIND(" ",VLOOKUP($A941,COMPRADORES!$A:$D,2,FALSE)&amp;" ")+1,99)),1)&amp;".")),""))</f>
        <v/>
      </c>
      <c r="F941" s="16">
        <f>IF($B941="PAGADO",MID("ABCDEFGHIJ",INT(VALUE($A941)/100)+1,1)&amp;"-"&amp;$A941,"")</f>
        <v/>
      </c>
      <c r="G941" s="16">
        <f>IF($B941="PAGADO","PAGADO",IF($B941="APARTADO",IF(NOT(ISNUMBER($C941)),"APARTADO",IF($C941&lt;1,"APARTADO",IF(NOW()-$C941&gt;1,"LIBRE","APARTADO"))),"LIBRE"))</f>
        <v/>
      </c>
      <c r="H941" s="15">
        <f>IF($G941&lt;&gt;"APARTADO","",IF(NOT(ISNUMBER($C941)),"FALTA LA HORA",IF($C941&lt;1,"FALTA LA FECHA",TEXT($C941+1,"dd/mm hh:mm"))))</f>
        <v/>
      </c>
    </row>
    <row r="942">
      <c r="A942" s="13" t="inlineStr">
        <is>
          <t>940</t>
        </is>
      </c>
      <c r="B942" t="inlineStr">
        <is>
          <t>LIBRE</t>
        </is>
      </c>
      <c r="C942" s="14" t="n"/>
      <c r="E942" s="15">
        <f>IF($G942&lt;&gt;"PAGADO","",IFERROR(IF(VLOOKUP($A942,COMPRADORES!$A:$D,4,FALSE)="NO","Reservado",LEFT(VLOOKUP($A942,COMPRADORES!$A:$D,2,FALSE),3)&amp;"***"&amp;IF(TRIM(MID(VLOOKUP($A942,COMPRADORES!$A:$D,2,FALSE)&amp;" ",FIND(" ",VLOOKUP($A942,COMPRADORES!$A:$D,2,FALSE)&amp;" ")+1,99))="",""," "&amp;LEFT(TRIM(MID(VLOOKUP($A942,COMPRADORES!$A:$D,2,FALSE)&amp;" ",FIND(" ",VLOOKUP($A942,COMPRADORES!$A:$D,2,FALSE)&amp;" ")+1,99)),1)&amp;".")),""))</f>
        <v/>
      </c>
      <c r="F942" s="16">
        <f>IF($B942="PAGADO",MID("ABCDEFGHIJ",INT(VALUE($A942)/100)+1,1)&amp;"-"&amp;$A942,"")</f>
        <v/>
      </c>
      <c r="G942" s="16">
        <f>IF($B942="PAGADO","PAGADO",IF($B942="APARTADO",IF(NOT(ISNUMBER($C942)),"APARTADO",IF($C942&lt;1,"APARTADO",IF(NOW()-$C942&gt;1,"LIBRE","APARTADO"))),"LIBRE"))</f>
        <v/>
      </c>
      <c r="H942" s="15">
        <f>IF($G942&lt;&gt;"APARTADO","",IF(NOT(ISNUMBER($C942)),"FALTA LA HORA",IF($C942&lt;1,"FALTA LA FECHA",TEXT($C942+1,"dd/mm hh:mm"))))</f>
        <v/>
      </c>
    </row>
    <row r="943">
      <c r="A943" s="13" t="inlineStr">
        <is>
          <t>941</t>
        </is>
      </c>
      <c r="B943" t="inlineStr">
        <is>
          <t>LIBRE</t>
        </is>
      </c>
      <c r="C943" s="14" t="n"/>
      <c r="E943" s="15">
        <f>IF($G943&lt;&gt;"PAGADO","",IFERROR(IF(VLOOKUP($A943,COMPRADORES!$A:$D,4,FALSE)="NO","Reservado",LEFT(VLOOKUP($A943,COMPRADORES!$A:$D,2,FALSE),3)&amp;"***"&amp;IF(TRIM(MID(VLOOKUP($A943,COMPRADORES!$A:$D,2,FALSE)&amp;" ",FIND(" ",VLOOKUP($A943,COMPRADORES!$A:$D,2,FALSE)&amp;" ")+1,99))="",""," "&amp;LEFT(TRIM(MID(VLOOKUP($A943,COMPRADORES!$A:$D,2,FALSE)&amp;" ",FIND(" ",VLOOKUP($A943,COMPRADORES!$A:$D,2,FALSE)&amp;" ")+1,99)),1)&amp;".")),""))</f>
        <v/>
      </c>
      <c r="F943" s="16">
        <f>IF($B943="PAGADO",MID("ABCDEFGHIJ",INT(VALUE($A943)/100)+1,1)&amp;"-"&amp;$A943,"")</f>
        <v/>
      </c>
      <c r="G943" s="16">
        <f>IF($B943="PAGADO","PAGADO",IF($B943="APARTADO",IF(NOT(ISNUMBER($C943)),"APARTADO",IF($C943&lt;1,"APARTADO",IF(NOW()-$C943&gt;1,"LIBRE","APARTADO"))),"LIBRE"))</f>
        <v/>
      </c>
      <c r="H943" s="15">
        <f>IF($G943&lt;&gt;"APARTADO","",IF(NOT(ISNUMBER($C943)),"FALTA LA HORA",IF($C943&lt;1,"FALTA LA FECHA",TEXT($C943+1,"dd/mm hh:mm"))))</f>
        <v/>
      </c>
    </row>
    <row r="944">
      <c r="A944" s="13" t="inlineStr">
        <is>
          <t>942</t>
        </is>
      </c>
      <c r="B944" t="inlineStr">
        <is>
          <t>LIBRE</t>
        </is>
      </c>
      <c r="C944" s="14" t="n"/>
      <c r="E944" s="15">
        <f>IF($G944&lt;&gt;"PAGADO","",IFERROR(IF(VLOOKUP($A944,COMPRADORES!$A:$D,4,FALSE)="NO","Reservado",LEFT(VLOOKUP($A944,COMPRADORES!$A:$D,2,FALSE),3)&amp;"***"&amp;IF(TRIM(MID(VLOOKUP($A944,COMPRADORES!$A:$D,2,FALSE)&amp;" ",FIND(" ",VLOOKUP($A944,COMPRADORES!$A:$D,2,FALSE)&amp;" ")+1,99))="",""," "&amp;LEFT(TRIM(MID(VLOOKUP($A944,COMPRADORES!$A:$D,2,FALSE)&amp;" ",FIND(" ",VLOOKUP($A944,COMPRADORES!$A:$D,2,FALSE)&amp;" ")+1,99)),1)&amp;".")),""))</f>
        <v/>
      </c>
      <c r="F944" s="16">
        <f>IF($B944="PAGADO",MID("ABCDEFGHIJ",INT(VALUE($A944)/100)+1,1)&amp;"-"&amp;$A944,"")</f>
        <v/>
      </c>
      <c r="G944" s="16">
        <f>IF($B944="PAGADO","PAGADO",IF($B944="APARTADO",IF(NOT(ISNUMBER($C944)),"APARTADO",IF($C944&lt;1,"APARTADO",IF(NOW()-$C944&gt;1,"LIBRE","APARTADO"))),"LIBRE"))</f>
        <v/>
      </c>
      <c r="H944" s="15">
        <f>IF($G944&lt;&gt;"APARTADO","",IF(NOT(ISNUMBER($C944)),"FALTA LA HORA",IF($C944&lt;1,"FALTA LA FECHA",TEXT($C944+1,"dd/mm hh:mm"))))</f>
        <v/>
      </c>
    </row>
    <row r="945">
      <c r="A945" s="13" t="inlineStr">
        <is>
          <t>943</t>
        </is>
      </c>
      <c r="B945" t="inlineStr">
        <is>
          <t>LIBRE</t>
        </is>
      </c>
      <c r="C945" s="14" t="n"/>
      <c r="E945" s="15">
        <f>IF($G945&lt;&gt;"PAGADO","",IFERROR(IF(VLOOKUP($A945,COMPRADORES!$A:$D,4,FALSE)="NO","Reservado",LEFT(VLOOKUP($A945,COMPRADORES!$A:$D,2,FALSE),3)&amp;"***"&amp;IF(TRIM(MID(VLOOKUP($A945,COMPRADORES!$A:$D,2,FALSE)&amp;" ",FIND(" ",VLOOKUP($A945,COMPRADORES!$A:$D,2,FALSE)&amp;" ")+1,99))="",""," "&amp;LEFT(TRIM(MID(VLOOKUP($A945,COMPRADORES!$A:$D,2,FALSE)&amp;" ",FIND(" ",VLOOKUP($A945,COMPRADORES!$A:$D,2,FALSE)&amp;" ")+1,99)),1)&amp;".")),""))</f>
        <v/>
      </c>
      <c r="F945" s="16">
        <f>IF($B945="PAGADO",MID("ABCDEFGHIJ",INT(VALUE($A945)/100)+1,1)&amp;"-"&amp;$A945,"")</f>
        <v/>
      </c>
      <c r="G945" s="16">
        <f>IF($B945="PAGADO","PAGADO",IF($B945="APARTADO",IF(NOT(ISNUMBER($C945)),"APARTADO",IF($C945&lt;1,"APARTADO",IF(NOW()-$C945&gt;1,"LIBRE","APARTADO"))),"LIBRE"))</f>
        <v/>
      </c>
      <c r="H945" s="15">
        <f>IF($G945&lt;&gt;"APARTADO","",IF(NOT(ISNUMBER($C945)),"FALTA LA HORA",IF($C945&lt;1,"FALTA LA FECHA",TEXT($C945+1,"dd/mm hh:mm"))))</f>
        <v/>
      </c>
    </row>
    <row r="946">
      <c r="A946" s="13" t="inlineStr">
        <is>
          <t>944</t>
        </is>
      </c>
      <c r="B946" t="inlineStr">
        <is>
          <t>LIBRE</t>
        </is>
      </c>
      <c r="C946" s="14" t="n"/>
      <c r="E946" s="15">
        <f>IF($G946&lt;&gt;"PAGADO","",IFERROR(IF(VLOOKUP($A946,COMPRADORES!$A:$D,4,FALSE)="NO","Reservado",LEFT(VLOOKUP($A946,COMPRADORES!$A:$D,2,FALSE),3)&amp;"***"&amp;IF(TRIM(MID(VLOOKUP($A946,COMPRADORES!$A:$D,2,FALSE)&amp;" ",FIND(" ",VLOOKUP($A946,COMPRADORES!$A:$D,2,FALSE)&amp;" ")+1,99))="",""," "&amp;LEFT(TRIM(MID(VLOOKUP($A946,COMPRADORES!$A:$D,2,FALSE)&amp;" ",FIND(" ",VLOOKUP($A946,COMPRADORES!$A:$D,2,FALSE)&amp;" ")+1,99)),1)&amp;".")),""))</f>
        <v/>
      </c>
      <c r="F946" s="16">
        <f>IF($B946="PAGADO",MID("ABCDEFGHIJ",INT(VALUE($A946)/100)+1,1)&amp;"-"&amp;$A946,"")</f>
        <v/>
      </c>
      <c r="G946" s="16">
        <f>IF($B946="PAGADO","PAGADO",IF($B946="APARTADO",IF(NOT(ISNUMBER($C946)),"APARTADO",IF($C946&lt;1,"APARTADO",IF(NOW()-$C946&gt;1,"LIBRE","APARTADO"))),"LIBRE"))</f>
        <v/>
      </c>
      <c r="H946" s="15">
        <f>IF($G946&lt;&gt;"APARTADO","",IF(NOT(ISNUMBER($C946)),"FALTA LA HORA",IF($C946&lt;1,"FALTA LA FECHA",TEXT($C946+1,"dd/mm hh:mm"))))</f>
        <v/>
      </c>
    </row>
    <row r="947">
      <c r="A947" s="13" t="inlineStr">
        <is>
          <t>945</t>
        </is>
      </c>
      <c r="B947" t="inlineStr">
        <is>
          <t>LIBRE</t>
        </is>
      </c>
      <c r="C947" s="14" t="n"/>
      <c r="E947" s="15">
        <f>IF($G947&lt;&gt;"PAGADO","",IFERROR(IF(VLOOKUP($A947,COMPRADORES!$A:$D,4,FALSE)="NO","Reservado",LEFT(VLOOKUP($A947,COMPRADORES!$A:$D,2,FALSE),3)&amp;"***"&amp;IF(TRIM(MID(VLOOKUP($A947,COMPRADORES!$A:$D,2,FALSE)&amp;" ",FIND(" ",VLOOKUP($A947,COMPRADORES!$A:$D,2,FALSE)&amp;" ")+1,99))="",""," "&amp;LEFT(TRIM(MID(VLOOKUP($A947,COMPRADORES!$A:$D,2,FALSE)&amp;" ",FIND(" ",VLOOKUP($A947,COMPRADORES!$A:$D,2,FALSE)&amp;" ")+1,99)),1)&amp;".")),""))</f>
        <v/>
      </c>
      <c r="F947" s="16">
        <f>IF($B947="PAGADO",MID("ABCDEFGHIJ",INT(VALUE($A947)/100)+1,1)&amp;"-"&amp;$A947,"")</f>
        <v/>
      </c>
      <c r="G947" s="16">
        <f>IF($B947="PAGADO","PAGADO",IF($B947="APARTADO",IF(NOT(ISNUMBER($C947)),"APARTADO",IF($C947&lt;1,"APARTADO",IF(NOW()-$C947&gt;1,"LIBRE","APARTADO"))),"LIBRE"))</f>
        <v/>
      </c>
      <c r="H947" s="15">
        <f>IF($G947&lt;&gt;"APARTADO","",IF(NOT(ISNUMBER($C947)),"FALTA LA HORA",IF($C947&lt;1,"FALTA LA FECHA",TEXT($C947+1,"dd/mm hh:mm"))))</f>
        <v/>
      </c>
    </row>
    <row r="948">
      <c r="A948" s="13" t="inlineStr">
        <is>
          <t>946</t>
        </is>
      </c>
      <c r="B948" t="inlineStr">
        <is>
          <t>LIBRE</t>
        </is>
      </c>
      <c r="C948" s="14" t="n"/>
      <c r="E948" s="15">
        <f>IF($G948&lt;&gt;"PAGADO","",IFERROR(IF(VLOOKUP($A948,COMPRADORES!$A:$D,4,FALSE)="NO","Reservado",LEFT(VLOOKUP($A948,COMPRADORES!$A:$D,2,FALSE),3)&amp;"***"&amp;IF(TRIM(MID(VLOOKUP($A948,COMPRADORES!$A:$D,2,FALSE)&amp;" ",FIND(" ",VLOOKUP($A948,COMPRADORES!$A:$D,2,FALSE)&amp;" ")+1,99))="",""," "&amp;LEFT(TRIM(MID(VLOOKUP($A948,COMPRADORES!$A:$D,2,FALSE)&amp;" ",FIND(" ",VLOOKUP($A948,COMPRADORES!$A:$D,2,FALSE)&amp;" ")+1,99)),1)&amp;".")),""))</f>
        <v/>
      </c>
      <c r="F948" s="16">
        <f>IF($B948="PAGADO",MID("ABCDEFGHIJ",INT(VALUE($A948)/100)+1,1)&amp;"-"&amp;$A948,"")</f>
        <v/>
      </c>
      <c r="G948" s="16">
        <f>IF($B948="PAGADO","PAGADO",IF($B948="APARTADO",IF(NOT(ISNUMBER($C948)),"APARTADO",IF($C948&lt;1,"APARTADO",IF(NOW()-$C948&gt;1,"LIBRE","APARTADO"))),"LIBRE"))</f>
        <v/>
      </c>
      <c r="H948" s="15">
        <f>IF($G948&lt;&gt;"APARTADO","",IF(NOT(ISNUMBER($C948)),"FALTA LA HORA",IF($C948&lt;1,"FALTA LA FECHA",TEXT($C948+1,"dd/mm hh:mm"))))</f>
        <v/>
      </c>
    </row>
    <row r="949">
      <c r="A949" s="13" t="inlineStr">
        <is>
          <t>947</t>
        </is>
      </c>
      <c r="B949" t="inlineStr">
        <is>
          <t>LIBRE</t>
        </is>
      </c>
      <c r="C949" s="14" t="n"/>
      <c r="E949" s="15">
        <f>IF($G949&lt;&gt;"PAGADO","",IFERROR(IF(VLOOKUP($A949,COMPRADORES!$A:$D,4,FALSE)="NO","Reservado",LEFT(VLOOKUP($A949,COMPRADORES!$A:$D,2,FALSE),3)&amp;"***"&amp;IF(TRIM(MID(VLOOKUP($A949,COMPRADORES!$A:$D,2,FALSE)&amp;" ",FIND(" ",VLOOKUP($A949,COMPRADORES!$A:$D,2,FALSE)&amp;" ")+1,99))="",""," "&amp;LEFT(TRIM(MID(VLOOKUP($A949,COMPRADORES!$A:$D,2,FALSE)&amp;" ",FIND(" ",VLOOKUP($A949,COMPRADORES!$A:$D,2,FALSE)&amp;" ")+1,99)),1)&amp;".")),""))</f>
        <v/>
      </c>
      <c r="F949" s="16">
        <f>IF($B949="PAGADO",MID("ABCDEFGHIJ",INT(VALUE($A949)/100)+1,1)&amp;"-"&amp;$A949,"")</f>
        <v/>
      </c>
      <c r="G949" s="16">
        <f>IF($B949="PAGADO","PAGADO",IF($B949="APARTADO",IF(NOT(ISNUMBER($C949)),"APARTADO",IF($C949&lt;1,"APARTADO",IF(NOW()-$C949&gt;1,"LIBRE","APARTADO"))),"LIBRE"))</f>
        <v/>
      </c>
      <c r="H949" s="15">
        <f>IF($G949&lt;&gt;"APARTADO","",IF(NOT(ISNUMBER($C949)),"FALTA LA HORA",IF($C949&lt;1,"FALTA LA FECHA",TEXT($C949+1,"dd/mm hh:mm"))))</f>
        <v/>
      </c>
    </row>
    <row r="950">
      <c r="A950" s="13" t="inlineStr">
        <is>
          <t>948</t>
        </is>
      </c>
      <c r="B950" t="inlineStr">
        <is>
          <t>LIBRE</t>
        </is>
      </c>
      <c r="C950" s="14" t="n"/>
      <c r="E950" s="15">
        <f>IF($G950&lt;&gt;"PAGADO","",IFERROR(IF(VLOOKUP($A950,COMPRADORES!$A:$D,4,FALSE)="NO","Reservado",LEFT(VLOOKUP($A950,COMPRADORES!$A:$D,2,FALSE),3)&amp;"***"&amp;IF(TRIM(MID(VLOOKUP($A950,COMPRADORES!$A:$D,2,FALSE)&amp;" ",FIND(" ",VLOOKUP($A950,COMPRADORES!$A:$D,2,FALSE)&amp;" ")+1,99))="",""," "&amp;LEFT(TRIM(MID(VLOOKUP($A950,COMPRADORES!$A:$D,2,FALSE)&amp;" ",FIND(" ",VLOOKUP($A950,COMPRADORES!$A:$D,2,FALSE)&amp;" ")+1,99)),1)&amp;".")),""))</f>
        <v/>
      </c>
      <c r="F950" s="16">
        <f>IF($B950="PAGADO",MID("ABCDEFGHIJ",INT(VALUE($A950)/100)+1,1)&amp;"-"&amp;$A950,"")</f>
        <v/>
      </c>
      <c r="G950" s="16">
        <f>IF($B950="PAGADO","PAGADO",IF($B950="APARTADO",IF(NOT(ISNUMBER($C950)),"APARTADO",IF($C950&lt;1,"APARTADO",IF(NOW()-$C950&gt;1,"LIBRE","APARTADO"))),"LIBRE"))</f>
        <v/>
      </c>
      <c r="H950" s="15">
        <f>IF($G950&lt;&gt;"APARTADO","",IF(NOT(ISNUMBER($C950)),"FALTA LA HORA",IF($C950&lt;1,"FALTA LA FECHA",TEXT($C950+1,"dd/mm hh:mm"))))</f>
        <v/>
      </c>
    </row>
    <row r="951">
      <c r="A951" s="13" t="inlineStr">
        <is>
          <t>949</t>
        </is>
      </c>
      <c r="B951" t="inlineStr">
        <is>
          <t>LIBRE</t>
        </is>
      </c>
      <c r="C951" s="14" t="n"/>
      <c r="E951" s="15">
        <f>IF($G951&lt;&gt;"PAGADO","",IFERROR(IF(VLOOKUP($A951,COMPRADORES!$A:$D,4,FALSE)="NO","Reservado",LEFT(VLOOKUP($A951,COMPRADORES!$A:$D,2,FALSE),3)&amp;"***"&amp;IF(TRIM(MID(VLOOKUP($A951,COMPRADORES!$A:$D,2,FALSE)&amp;" ",FIND(" ",VLOOKUP($A951,COMPRADORES!$A:$D,2,FALSE)&amp;" ")+1,99))="",""," "&amp;LEFT(TRIM(MID(VLOOKUP($A951,COMPRADORES!$A:$D,2,FALSE)&amp;" ",FIND(" ",VLOOKUP($A951,COMPRADORES!$A:$D,2,FALSE)&amp;" ")+1,99)),1)&amp;".")),""))</f>
        <v/>
      </c>
      <c r="F951" s="16">
        <f>IF($B951="PAGADO",MID("ABCDEFGHIJ",INT(VALUE($A951)/100)+1,1)&amp;"-"&amp;$A951,"")</f>
        <v/>
      </c>
      <c r="G951" s="16">
        <f>IF($B951="PAGADO","PAGADO",IF($B951="APARTADO",IF(NOT(ISNUMBER($C951)),"APARTADO",IF($C951&lt;1,"APARTADO",IF(NOW()-$C951&gt;1,"LIBRE","APARTADO"))),"LIBRE"))</f>
        <v/>
      </c>
      <c r="H951" s="15">
        <f>IF($G951&lt;&gt;"APARTADO","",IF(NOT(ISNUMBER($C951)),"FALTA LA HORA",IF($C951&lt;1,"FALTA LA FECHA",TEXT($C951+1,"dd/mm hh:mm"))))</f>
        <v/>
      </c>
    </row>
    <row r="952">
      <c r="A952" s="13" t="inlineStr">
        <is>
          <t>950</t>
        </is>
      </c>
      <c r="B952" t="inlineStr">
        <is>
          <t>LIBRE</t>
        </is>
      </c>
      <c r="C952" s="14" t="n"/>
      <c r="E952" s="15">
        <f>IF($G952&lt;&gt;"PAGADO","",IFERROR(IF(VLOOKUP($A952,COMPRADORES!$A:$D,4,FALSE)="NO","Reservado",LEFT(VLOOKUP($A952,COMPRADORES!$A:$D,2,FALSE),3)&amp;"***"&amp;IF(TRIM(MID(VLOOKUP($A952,COMPRADORES!$A:$D,2,FALSE)&amp;" ",FIND(" ",VLOOKUP($A952,COMPRADORES!$A:$D,2,FALSE)&amp;" ")+1,99))="",""," "&amp;LEFT(TRIM(MID(VLOOKUP($A952,COMPRADORES!$A:$D,2,FALSE)&amp;" ",FIND(" ",VLOOKUP($A952,COMPRADORES!$A:$D,2,FALSE)&amp;" ")+1,99)),1)&amp;".")),""))</f>
        <v/>
      </c>
      <c r="F952" s="16">
        <f>IF($B952="PAGADO",MID("ABCDEFGHIJ",INT(VALUE($A952)/100)+1,1)&amp;"-"&amp;$A952,"")</f>
        <v/>
      </c>
      <c r="G952" s="16">
        <f>IF($B952="PAGADO","PAGADO",IF($B952="APARTADO",IF(NOT(ISNUMBER($C952)),"APARTADO",IF($C952&lt;1,"APARTADO",IF(NOW()-$C952&gt;1,"LIBRE","APARTADO"))),"LIBRE"))</f>
        <v/>
      </c>
      <c r="H952" s="15">
        <f>IF($G952&lt;&gt;"APARTADO","",IF(NOT(ISNUMBER($C952)),"FALTA LA HORA",IF($C952&lt;1,"FALTA LA FECHA",TEXT($C952+1,"dd/mm hh:mm"))))</f>
        <v/>
      </c>
    </row>
    <row r="953">
      <c r="A953" s="13" t="inlineStr">
        <is>
          <t>951</t>
        </is>
      </c>
      <c r="B953" t="inlineStr">
        <is>
          <t>LIBRE</t>
        </is>
      </c>
      <c r="C953" s="14" t="n"/>
      <c r="E953" s="15">
        <f>IF($G953&lt;&gt;"PAGADO","",IFERROR(IF(VLOOKUP($A953,COMPRADORES!$A:$D,4,FALSE)="NO","Reservado",LEFT(VLOOKUP($A953,COMPRADORES!$A:$D,2,FALSE),3)&amp;"***"&amp;IF(TRIM(MID(VLOOKUP($A953,COMPRADORES!$A:$D,2,FALSE)&amp;" ",FIND(" ",VLOOKUP($A953,COMPRADORES!$A:$D,2,FALSE)&amp;" ")+1,99))="",""," "&amp;LEFT(TRIM(MID(VLOOKUP($A953,COMPRADORES!$A:$D,2,FALSE)&amp;" ",FIND(" ",VLOOKUP($A953,COMPRADORES!$A:$D,2,FALSE)&amp;" ")+1,99)),1)&amp;".")),""))</f>
        <v/>
      </c>
      <c r="F953" s="16">
        <f>IF($B953="PAGADO",MID("ABCDEFGHIJ",INT(VALUE($A953)/100)+1,1)&amp;"-"&amp;$A953,"")</f>
        <v/>
      </c>
      <c r="G953" s="16">
        <f>IF($B953="PAGADO","PAGADO",IF($B953="APARTADO",IF(NOT(ISNUMBER($C953)),"APARTADO",IF($C953&lt;1,"APARTADO",IF(NOW()-$C953&gt;1,"LIBRE","APARTADO"))),"LIBRE"))</f>
        <v/>
      </c>
      <c r="H953" s="15">
        <f>IF($G953&lt;&gt;"APARTADO","",IF(NOT(ISNUMBER($C953)),"FALTA LA HORA",IF($C953&lt;1,"FALTA LA FECHA",TEXT($C953+1,"dd/mm hh:mm"))))</f>
        <v/>
      </c>
    </row>
    <row r="954">
      <c r="A954" s="13" t="inlineStr">
        <is>
          <t>952</t>
        </is>
      </c>
      <c r="B954" t="inlineStr">
        <is>
          <t>LIBRE</t>
        </is>
      </c>
      <c r="C954" s="14" t="n"/>
      <c r="E954" s="15">
        <f>IF($G954&lt;&gt;"PAGADO","",IFERROR(IF(VLOOKUP($A954,COMPRADORES!$A:$D,4,FALSE)="NO","Reservado",LEFT(VLOOKUP($A954,COMPRADORES!$A:$D,2,FALSE),3)&amp;"***"&amp;IF(TRIM(MID(VLOOKUP($A954,COMPRADORES!$A:$D,2,FALSE)&amp;" ",FIND(" ",VLOOKUP($A954,COMPRADORES!$A:$D,2,FALSE)&amp;" ")+1,99))="",""," "&amp;LEFT(TRIM(MID(VLOOKUP($A954,COMPRADORES!$A:$D,2,FALSE)&amp;" ",FIND(" ",VLOOKUP($A954,COMPRADORES!$A:$D,2,FALSE)&amp;" ")+1,99)),1)&amp;".")),""))</f>
        <v/>
      </c>
      <c r="F954" s="16">
        <f>IF($B954="PAGADO",MID("ABCDEFGHIJ",INT(VALUE($A954)/100)+1,1)&amp;"-"&amp;$A954,"")</f>
        <v/>
      </c>
      <c r="G954" s="16">
        <f>IF($B954="PAGADO","PAGADO",IF($B954="APARTADO",IF(NOT(ISNUMBER($C954)),"APARTADO",IF($C954&lt;1,"APARTADO",IF(NOW()-$C954&gt;1,"LIBRE","APARTADO"))),"LIBRE"))</f>
        <v/>
      </c>
      <c r="H954" s="15">
        <f>IF($G954&lt;&gt;"APARTADO","",IF(NOT(ISNUMBER($C954)),"FALTA LA HORA",IF($C954&lt;1,"FALTA LA FECHA",TEXT($C954+1,"dd/mm hh:mm"))))</f>
        <v/>
      </c>
    </row>
    <row r="955">
      <c r="A955" s="13" t="inlineStr">
        <is>
          <t>953</t>
        </is>
      </c>
      <c r="B955" t="inlineStr">
        <is>
          <t>LIBRE</t>
        </is>
      </c>
      <c r="C955" s="14" t="n"/>
      <c r="E955" s="15">
        <f>IF($G955&lt;&gt;"PAGADO","",IFERROR(IF(VLOOKUP($A955,COMPRADORES!$A:$D,4,FALSE)="NO","Reservado",LEFT(VLOOKUP($A955,COMPRADORES!$A:$D,2,FALSE),3)&amp;"***"&amp;IF(TRIM(MID(VLOOKUP($A955,COMPRADORES!$A:$D,2,FALSE)&amp;" ",FIND(" ",VLOOKUP($A955,COMPRADORES!$A:$D,2,FALSE)&amp;" ")+1,99))="",""," "&amp;LEFT(TRIM(MID(VLOOKUP($A955,COMPRADORES!$A:$D,2,FALSE)&amp;" ",FIND(" ",VLOOKUP($A955,COMPRADORES!$A:$D,2,FALSE)&amp;" ")+1,99)),1)&amp;".")),""))</f>
        <v/>
      </c>
      <c r="F955" s="16">
        <f>IF($B955="PAGADO",MID("ABCDEFGHIJ",INT(VALUE($A955)/100)+1,1)&amp;"-"&amp;$A955,"")</f>
        <v/>
      </c>
      <c r="G955" s="16">
        <f>IF($B955="PAGADO","PAGADO",IF($B955="APARTADO",IF(NOT(ISNUMBER($C955)),"APARTADO",IF($C955&lt;1,"APARTADO",IF(NOW()-$C955&gt;1,"LIBRE","APARTADO"))),"LIBRE"))</f>
        <v/>
      </c>
      <c r="H955" s="15">
        <f>IF($G955&lt;&gt;"APARTADO","",IF(NOT(ISNUMBER($C955)),"FALTA LA HORA",IF($C955&lt;1,"FALTA LA FECHA",TEXT($C955+1,"dd/mm hh:mm"))))</f>
        <v/>
      </c>
    </row>
    <row r="956">
      <c r="A956" s="13" t="inlineStr">
        <is>
          <t>954</t>
        </is>
      </c>
      <c r="B956" t="inlineStr">
        <is>
          <t>LIBRE</t>
        </is>
      </c>
      <c r="C956" s="14" t="n"/>
      <c r="E956" s="15">
        <f>IF($G956&lt;&gt;"PAGADO","",IFERROR(IF(VLOOKUP($A956,COMPRADORES!$A:$D,4,FALSE)="NO","Reservado",LEFT(VLOOKUP($A956,COMPRADORES!$A:$D,2,FALSE),3)&amp;"***"&amp;IF(TRIM(MID(VLOOKUP($A956,COMPRADORES!$A:$D,2,FALSE)&amp;" ",FIND(" ",VLOOKUP($A956,COMPRADORES!$A:$D,2,FALSE)&amp;" ")+1,99))="",""," "&amp;LEFT(TRIM(MID(VLOOKUP($A956,COMPRADORES!$A:$D,2,FALSE)&amp;" ",FIND(" ",VLOOKUP($A956,COMPRADORES!$A:$D,2,FALSE)&amp;" ")+1,99)),1)&amp;".")),""))</f>
        <v/>
      </c>
      <c r="F956" s="16">
        <f>IF($B956="PAGADO",MID("ABCDEFGHIJ",INT(VALUE($A956)/100)+1,1)&amp;"-"&amp;$A956,"")</f>
        <v/>
      </c>
      <c r="G956" s="16">
        <f>IF($B956="PAGADO","PAGADO",IF($B956="APARTADO",IF(NOT(ISNUMBER($C956)),"APARTADO",IF($C956&lt;1,"APARTADO",IF(NOW()-$C956&gt;1,"LIBRE","APARTADO"))),"LIBRE"))</f>
        <v/>
      </c>
      <c r="H956" s="15">
        <f>IF($G956&lt;&gt;"APARTADO","",IF(NOT(ISNUMBER($C956)),"FALTA LA HORA",IF($C956&lt;1,"FALTA LA FECHA",TEXT($C956+1,"dd/mm hh:mm"))))</f>
        <v/>
      </c>
    </row>
    <row r="957">
      <c r="A957" s="13" t="inlineStr">
        <is>
          <t>955</t>
        </is>
      </c>
      <c r="B957" t="inlineStr">
        <is>
          <t>LIBRE</t>
        </is>
      </c>
      <c r="C957" s="14" t="n"/>
      <c r="E957" s="15">
        <f>IF($G957&lt;&gt;"PAGADO","",IFERROR(IF(VLOOKUP($A957,COMPRADORES!$A:$D,4,FALSE)="NO","Reservado",LEFT(VLOOKUP($A957,COMPRADORES!$A:$D,2,FALSE),3)&amp;"***"&amp;IF(TRIM(MID(VLOOKUP($A957,COMPRADORES!$A:$D,2,FALSE)&amp;" ",FIND(" ",VLOOKUP($A957,COMPRADORES!$A:$D,2,FALSE)&amp;" ")+1,99))="",""," "&amp;LEFT(TRIM(MID(VLOOKUP($A957,COMPRADORES!$A:$D,2,FALSE)&amp;" ",FIND(" ",VLOOKUP($A957,COMPRADORES!$A:$D,2,FALSE)&amp;" ")+1,99)),1)&amp;".")),""))</f>
        <v/>
      </c>
      <c r="F957" s="16">
        <f>IF($B957="PAGADO",MID("ABCDEFGHIJ",INT(VALUE($A957)/100)+1,1)&amp;"-"&amp;$A957,"")</f>
        <v/>
      </c>
      <c r="G957" s="16">
        <f>IF($B957="PAGADO","PAGADO",IF($B957="APARTADO",IF(NOT(ISNUMBER($C957)),"APARTADO",IF($C957&lt;1,"APARTADO",IF(NOW()-$C957&gt;1,"LIBRE","APARTADO"))),"LIBRE"))</f>
        <v/>
      </c>
      <c r="H957" s="15">
        <f>IF($G957&lt;&gt;"APARTADO","",IF(NOT(ISNUMBER($C957)),"FALTA LA HORA",IF($C957&lt;1,"FALTA LA FECHA",TEXT($C957+1,"dd/mm hh:mm"))))</f>
        <v/>
      </c>
    </row>
    <row r="958">
      <c r="A958" s="13" t="inlineStr">
        <is>
          <t>956</t>
        </is>
      </c>
      <c r="B958" t="inlineStr">
        <is>
          <t>LIBRE</t>
        </is>
      </c>
      <c r="C958" s="14" t="n"/>
      <c r="E958" s="15">
        <f>IF($G958&lt;&gt;"PAGADO","",IFERROR(IF(VLOOKUP($A958,COMPRADORES!$A:$D,4,FALSE)="NO","Reservado",LEFT(VLOOKUP($A958,COMPRADORES!$A:$D,2,FALSE),3)&amp;"***"&amp;IF(TRIM(MID(VLOOKUP($A958,COMPRADORES!$A:$D,2,FALSE)&amp;" ",FIND(" ",VLOOKUP($A958,COMPRADORES!$A:$D,2,FALSE)&amp;" ")+1,99))="",""," "&amp;LEFT(TRIM(MID(VLOOKUP($A958,COMPRADORES!$A:$D,2,FALSE)&amp;" ",FIND(" ",VLOOKUP($A958,COMPRADORES!$A:$D,2,FALSE)&amp;" ")+1,99)),1)&amp;".")),""))</f>
        <v/>
      </c>
      <c r="F958" s="16">
        <f>IF($B958="PAGADO",MID("ABCDEFGHIJ",INT(VALUE($A958)/100)+1,1)&amp;"-"&amp;$A958,"")</f>
        <v/>
      </c>
      <c r="G958" s="16">
        <f>IF($B958="PAGADO","PAGADO",IF($B958="APARTADO",IF(NOT(ISNUMBER($C958)),"APARTADO",IF($C958&lt;1,"APARTADO",IF(NOW()-$C958&gt;1,"LIBRE","APARTADO"))),"LIBRE"))</f>
        <v/>
      </c>
      <c r="H958" s="15">
        <f>IF($G958&lt;&gt;"APARTADO","",IF(NOT(ISNUMBER($C958)),"FALTA LA HORA",IF($C958&lt;1,"FALTA LA FECHA",TEXT($C958+1,"dd/mm hh:mm"))))</f>
        <v/>
      </c>
    </row>
    <row r="959">
      <c r="A959" s="13" t="inlineStr">
        <is>
          <t>957</t>
        </is>
      </c>
      <c r="B959" t="inlineStr">
        <is>
          <t>LIBRE</t>
        </is>
      </c>
      <c r="C959" s="14" t="n"/>
      <c r="E959" s="15">
        <f>IF($G959&lt;&gt;"PAGADO","",IFERROR(IF(VLOOKUP($A959,COMPRADORES!$A:$D,4,FALSE)="NO","Reservado",LEFT(VLOOKUP($A959,COMPRADORES!$A:$D,2,FALSE),3)&amp;"***"&amp;IF(TRIM(MID(VLOOKUP($A959,COMPRADORES!$A:$D,2,FALSE)&amp;" ",FIND(" ",VLOOKUP($A959,COMPRADORES!$A:$D,2,FALSE)&amp;" ")+1,99))="",""," "&amp;LEFT(TRIM(MID(VLOOKUP($A959,COMPRADORES!$A:$D,2,FALSE)&amp;" ",FIND(" ",VLOOKUP($A959,COMPRADORES!$A:$D,2,FALSE)&amp;" ")+1,99)),1)&amp;".")),""))</f>
        <v/>
      </c>
      <c r="F959" s="16">
        <f>IF($B959="PAGADO",MID("ABCDEFGHIJ",INT(VALUE($A959)/100)+1,1)&amp;"-"&amp;$A959,"")</f>
        <v/>
      </c>
      <c r="G959" s="16">
        <f>IF($B959="PAGADO","PAGADO",IF($B959="APARTADO",IF(NOT(ISNUMBER($C959)),"APARTADO",IF($C959&lt;1,"APARTADO",IF(NOW()-$C959&gt;1,"LIBRE","APARTADO"))),"LIBRE"))</f>
        <v/>
      </c>
      <c r="H959" s="15">
        <f>IF($G959&lt;&gt;"APARTADO","",IF(NOT(ISNUMBER($C959)),"FALTA LA HORA",IF($C959&lt;1,"FALTA LA FECHA",TEXT($C959+1,"dd/mm hh:mm"))))</f>
        <v/>
      </c>
    </row>
    <row r="960">
      <c r="A960" s="13" t="inlineStr">
        <is>
          <t>958</t>
        </is>
      </c>
      <c r="B960" t="inlineStr">
        <is>
          <t>LIBRE</t>
        </is>
      </c>
      <c r="C960" s="14" t="n"/>
      <c r="E960" s="15">
        <f>IF($G960&lt;&gt;"PAGADO","",IFERROR(IF(VLOOKUP($A960,COMPRADORES!$A:$D,4,FALSE)="NO","Reservado",LEFT(VLOOKUP($A960,COMPRADORES!$A:$D,2,FALSE),3)&amp;"***"&amp;IF(TRIM(MID(VLOOKUP($A960,COMPRADORES!$A:$D,2,FALSE)&amp;" ",FIND(" ",VLOOKUP($A960,COMPRADORES!$A:$D,2,FALSE)&amp;" ")+1,99))="",""," "&amp;LEFT(TRIM(MID(VLOOKUP($A960,COMPRADORES!$A:$D,2,FALSE)&amp;" ",FIND(" ",VLOOKUP($A960,COMPRADORES!$A:$D,2,FALSE)&amp;" ")+1,99)),1)&amp;".")),""))</f>
        <v/>
      </c>
      <c r="F960" s="16">
        <f>IF($B960="PAGADO",MID("ABCDEFGHIJ",INT(VALUE($A960)/100)+1,1)&amp;"-"&amp;$A960,"")</f>
        <v/>
      </c>
      <c r="G960" s="16">
        <f>IF($B960="PAGADO","PAGADO",IF($B960="APARTADO",IF(NOT(ISNUMBER($C960)),"APARTADO",IF($C960&lt;1,"APARTADO",IF(NOW()-$C960&gt;1,"LIBRE","APARTADO"))),"LIBRE"))</f>
        <v/>
      </c>
      <c r="H960" s="15">
        <f>IF($G960&lt;&gt;"APARTADO","",IF(NOT(ISNUMBER($C960)),"FALTA LA HORA",IF($C960&lt;1,"FALTA LA FECHA",TEXT($C960+1,"dd/mm hh:mm"))))</f>
        <v/>
      </c>
    </row>
    <row r="961">
      <c r="A961" s="13" t="inlineStr">
        <is>
          <t>959</t>
        </is>
      </c>
      <c r="B961" t="inlineStr">
        <is>
          <t>LIBRE</t>
        </is>
      </c>
      <c r="C961" s="14" t="n"/>
      <c r="E961" s="15">
        <f>IF($G961&lt;&gt;"PAGADO","",IFERROR(IF(VLOOKUP($A961,COMPRADORES!$A:$D,4,FALSE)="NO","Reservado",LEFT(VLOOKUP($A961,COMPRADORES!$A:$D,2,FALSE),3)&amp;"***"&amp;IF(TRIM(MID(VLOOKUP($A961,COMPRADORES!$A:$D,2,FALSE)&amp;" ",FIND(" ",VLOOKUP($A961,COMPRADORES!$A:$D,2,FALSE)&amp;" ")+1,99))="",""," "&amp;LEFT(TRIM(MID(VLOOKUP($A961,COMPRADORES!$A:$D,2,FALSE)&amp;" ",FIND(" ",VLOOKUP($A961,COMPRADORES!$A:$D,2,FALSE)&amp;" ")+1,99)),1)&amp;".")),""))</f>
        <v/>
      </c>
      <c r="F961" s="16">
        <f>IF($B961="PAGADO",MID("ABCDEFGHIJ",INT(VALUE($A961)/100)+1,1)&amp;"-"&amp;$A961,"")</f>
        <v/>
      </c>
      <c r="G961" s="16">
        <f>IF($B961="PAGADO","PAGADO",IF($B961="APARTADO",IF(NOT(ISNUMBER($C961)),"APARTADO",IF($C961&lt;1,"APARTADO",IF(NOW()-$C961&gt;1,"LIBRE","APARTADO"))),"LIBRE"))</f>
        <v/>
      </c>
      <c r="H961" s="15">
        <f>IF($G961&lt;&gt;"APARTADO","",IF(NOT(ISNUMBER($C961)),"FALTA LA HORA",IF($C961&lt;1,"FALTA LA FECHA",TEXT($C961+1,"dd/mm hh:mm"))))</f>
        <v/>
      </c>
    </row>
    <row r="962">
      <c r="A962" s="13" t="inlineStr">
        <is>
          <t>960</t>
        </is>
      </c>
      <c r="B962" t="inlineStr">
        <is>
          <t>LIBRE</t>
        </is>
      </c>
      <c r="C962" s="14" t="n"/>
      <c r="E962" s="15">
        <f>IF($G962&lt;&gt;"PAGADO","",IFERROR(IF(VLOOKUP($A962,COMPRADORES!$A:$D,4,FALSE)="NO","Reservado",LEFT(VLOOKUP($A962,COMPRADORES!$A:$D,2,FALSE),3)&amp;"***"&amp;IF(TRIM(MID(VLOOKUP($A962,COMPRADORES!$A:$D,2,FALSE)&amp;" ",FIND(" ",VLOOKUP($A962,COMPRADORES!$A:$D,2,FALSE)&amp;" ")+1,99))="",""," "&amp;LEFT(TRIM(MID(VLOOKUP($A962,COMPRADORES!$A:$D,2,FALSE)&amp;" ",FIND(" ",VLOOKUP($A962,COMPRADORES!$A:$D,2,FALSE)&amp;" ")+1,99)),1)&amp;".")),""))</f>
        <v/>
      </c>
      <c r="F962" s="16">
        <f>IF($B962="PAGADO",MID("ABCDEFGHIJ",INT(VALUE($A962)/100)+1,1)&amp;"-"&amp;$A962,"")</f>
        <v/>
      </c>
      <c r="G962" s="16">
        <f>IF($B962="PAGADO","PAGADO",IF($B962="APARTADO",IF(NOT(ISNUMBER($C962)),"APARTADO",IF($C962&lt;1,"APARTADO",IF(NOW()-$C962&gt;1,"LIBRE","APARTADO"))),"LIBRE"))</f>
        <v/>
      </c>
      <c r="H962" s="15">
        <f>IF($G962&lt;&gt;"APARTADO","",IF(NOT(ISNUMBER($C962)),"FALTA LA HORA",IF($C962&lt;1,"FALTA LA FECHA",TEXT($C962+1,"dd/mm hh:mm"))))</f>
        <v/>
      </c>
    </row>
    <row r="963">
      <c r="A963" s="13" t="inlineStr">
        <is>
          <t>961</t>
        </is>
      </c>
      <c r="B963" t="inlineStr">
        <is>
          <t>LIBRE</t>
        </is>
      </c>
      <c r="C963" s="14" t="n"/>
      <c r="E963" s="15">
        <f>IF($G963&lt;&gt;"PAGADO","",IFERROR(IF(VLOOKUP($A963,COMPRADORES!$A:$D,4,FALSE)="NO","Reservado",LEFT(VLOOKUP($A963,COMPRADORES!$A:$D,2,FALSE),3)&amp;"***"&amp;IF(TRIM(MID(VLOOKUP($A963,COMPRADORES!$A:$D,2,FALSE)&amp;" ",FIND(" ",VLOOKUP($A963,COMPRADORES!$A:$D,2,FALSE)&amp;" ")+1,99))="",""," "&amp;LEFT(TRIM(MID(VLOOKUP($A963,COMPRADORES!$A:$D,2,FALSE)&amp;" ",FIND(" ",VLOOKUP($A963,COMPRADORES!$A:$D,2,FALSE)&amp;" ")+1,99)),1)&amp;".")),""))</f>
        <v/>
      </c>
      <c r="F963" s="16">
        <f>IF($B963="PAGADO",MID("ABCDEFGHIJ",INT(VALUE($A963)/100)+1,1)&amp;"-"&amp;$A963,"")</f>
        <v/>
      </c>
      <c r="G963" s="16">
        <f>IF($B963="PAGADO","PAGADO",IF($B963="APARTADO",IF(NOT(ISNUMBER($C963)),"APARTADO",IF($C963&lt;1,"APARTADO",IF(NOW()-$C963&gt;1,"LIBRE","APARTADO"))),"LIBRE"))</f>
        <v/>
      </c>
      <c r="H963" s="15">
        <f>IF($G963&lt;&gt;"APARTADO","",IF(NOT(ISNUMBER($C963)),"FALTA LA HORA",IF($C963&lt;1,"FALTA LA FECHA",TEXT($C963+1,"dd/mm hh:mm"))))</f>
        <v/>
      </c>
    </row>
    <row r="964">
      <c r="A964" s="13" t="inlineStr">
        <is>
          <t>962</t>
        </is>
      </c>
      <c r="B964" t="inlineStr">
        <is>
          <t>LIBRE</t>
        </is>
      </c>
      <c r="C964" s="14" t="n"/>
      <c r="E964" s="15">
        <f>IF($G964&lt;&gt;"PAGADO","",IFERROR(IF(VLOOKUP($A964,COMPRADORES!$A:$D,4,FALSE)="NO","Reservado",LEFT(VLOOKUP($A964,COMPRADORES!$A:$D,2,FALSE),3)&amp;"***"&amp;IF(TRIM(MID(VLOOKUP($A964,COMPRADORES!$A:$D,2,FALSE)&amp;" ",FIND(" ",VLOOKUP($A964,COMPRADORES!$A:$D,2,FALSE)&amp;" ")+1,99))="",""," "&amp;LEFT(TRIM(MID(VLOOKUP($A964,COMPRADORES!$A:$D,2,FALSE)&amp;" ",FIND(" ",VLOOKUP($A964,COMPRADORES!$A:$D,2,FALSE)&amp;" ")+1,99)),1)&amp;".")),""))</f>
        <v/>
      </c>
      <c r="F964" s="16">
        <f>IF($B964="PAGADO",MID("ABCDEFGHIJ",INT(VALUE($A964)/100)+1,1)&amp;"-"&amp;$A964,"")</f>
        <v/>
      </c>
      <c r="G964" s="16">
        <f>IF($B964="PAGADO","PAGADO",IF($B964="APARTADO",IF(NOT(ISNUMBER($C964)),"APARTADO",IF($C964&lt;1,"APARTADO",IF(NOW()-$C964&gt;1,"LIBRE","APARTADO"))),"LIBRE"))</f>
        <v/>
      </c>
      <c r="H964" s="15">
        <f>IF($G964&lt;&gt;"APARTADO","",IF(NOT(ISNUMBER($C964)),"FALTA LA HORA",IF($C964&lt;1,"FALTA LA FECHA",TEXT($C964+1,"dd/mm hh:mm"))))</f>
        <v/>
      </c>
    </row>
    <row r="965">
      <c r="A965" s="13" t="inlineStr">
        <is>
          <t>963</t>
        </is>
      </c>
      <c r="B965" t="inlineStr">
        <is>
          <t>LIBRE</t>
        </is>
      </c>
      <c r="C965" s="14" t="n"/>
      <c r="E965" s="15">
        <f>IF($G965&lt;&gt;"PAGADO","",IFERROR(IF(VLOOKUP($A965,COMPRADORES!$A:$D,4,FALSE)="NO","Reservado",LEFT(VLOOKUP($A965,COMPRADORES!$A:$D,2,FALSE),3)&amp;"***"&amp;IF(TRIM(MID(VLOOKUP($A965,COMPRADORES!$A:$D,2,FALSE)&amp;" ",FIND(" ",VLOOKUP($A965,COMPRADORES!$A:$D,2,FALSE)&amp;" ")+1,99))="",""," "&amp;LEFT(TRIM(MID(VLOOKUP($A965,COMPRADORES!$A:$D,2,FALSE)&amp;" ",FIND(" ",VLOOKUP($A965,COMPRADORES!$A:$D,2,FALSE)&amp;" ")+1,99)),1)&amp;".")),""))</f>
        <v/>
      </c>
      <c r="F965" s="16">
        <f>IF($B965="PAGADO",MID("ABCDEFGHIJ",INT(VALUE($A965)/100)+1,1)&amp;"-"&amp;$A965,"")</f>
        <v/>
      </c>
      <c r="G965" s="16">
        <f>IF($B965="PAGADO","PAGADO",IF($B965="APARTADO",IF(NOT(ISNUMBER($C965)),"APARTADO",IF($C965&lt;1,"APARTADO",IF(NOW()-$C965&gt;1,"LIBRE","APARTADO"))),"LIBRE"))</f>
        <v/>
      </c>
      <c r="H965" s="15">
        <f>IF($G965&lt;&gt;"APARTADO","",IF(NOT(ISNUMBER($C965)),"FALTA LA HORA",IF($C965&lt;1,"FALTA LA FECHA",TEXT($C965+1,"dd/mm hh:mm"))))</f>
        <v/>
      </c>
    </row>
    <row r="966">
      <c r="A966" s="13" t="inlineStr">
        <is>
          <t>964</t>
        </is>
      </c>
      <c r="B966" t="inlineStr">
        <is>
          <t>LIBRE</t>
        </is>
      </c>
      <c r="C966" s="14" t="n"/>
      <c r="E966" s="15">
        <f>IF($G966&lt;&gt;"PAGADO","",IFERROR(IF(VLOOKUP($A966,COMPRADORES!$A:$D,4,FALSE)="NO","Reservado",LEFT(VLOOKUP($A966,COMPRADORES!$A:$D,2,FALSE),3)&amp;"***"&amp;IF(TRIM(MID(VLOOKUP($A966,COMPRADORES!$A:$D,2,FALSE)&amp;" ",FIND(" ",VLOOKUP($A966,COMPRADORES!$A:$D,2,FALSE)&amp;" ")+1,99))="",""," "&amp;LEFT(TRIM(MID(VLOOKUP($A966,COMPRADORES!$A:$D,2,FALSE)&amp;" ",FIND(" ",VLOOKUP($A966,COMPRADORES!$A:$D,2,FALSE)&amp;" ")+1,99)),1)&amp;".")),""))</f>
        <v/>
      </c>
      <c r="F966" s="16">
        <f>IF($B966="PAGADO",MID("ABCDEFGHIJ",INT(VALUE($A966)/100)+1,1)&amp;"-"&amp;$A966,"")</f>
        <v/>
      </c>
      <c r="G966" s="16">
        <f>IF($B966="PAGADO","PAGADO",IF($B966="APARTADO",IF(NOT(ISNUMBER($C966)),"APARTADO",IF($C966&lt;1,"APARTADO",IF(NOW()-$C966&gt;1,"LIBRE","APARTADO"))),"LIBRE"))</f>
        <v/>
      </c>
      <c r="H966" s="15">
        <f>IF($G966&lt;&gt;"APARTADO","",IF(NOT(ISNUMBER($C966)),"FALTA LA HORA",IF($C966&lt;1,"FALTA LA FECHA",TEXT($C966+1,"dd/mm hh:mm"))))</f>
        <v/>
      </c>
    </row>
    <row r="967">
      <c r="A967" s="13" t="inlineStr">
        <is>
          <t>965</t>
        </is>
      </c>
      <c r="B967" t="inlineStr">
        <is>
          <t>LIBRE</t>
        </is>
      </c>
      <c r="C967" s="14" t="n"/>
      <c r="E967" s="15">
        <f>IF($G967&lt;&gt;"PAGADO","",IFERROR(IF(VLOOKUP($A967,COMPRADORES!$A:$D,4,FALSE)="NO","Reservado",LEFT(VLOOKUP($A967,COMPRADORES!$A:$D,2,FALSE),3)&amp;"***"&amp;IF(TRIM(MID(VLOOKUP($A967,COMPRADORES!$A:$D,2,FALSE)&amp;" ",FIND(" ",VLOOKUP($A967,COMPRADORES!$A:$D,2,FALSE)&amp;" ")+1,99))="",""," "&amp;LEFT(TRIM(MID(VLOOKUP($A967,COMPRADORES!$A:$D,2,FALSE)&amp;" ",FIND(" ",VLOOKUP($A967,COMPRADORES!$A:$D,2,FALSE)&amp;" ")+1,99)),1)&amp;".")),""))</f>
        <v/>
      </c>
      <c r="F967" s="16">
        <f>IF($B967="PAGADO",MID("ABCDEFGHIJ",INT(VALUE($A967)/100)+1,1)&amp;"-"&amp;$A967,"")</f>
        <v/>
      </c>
      <c r="G967" s="16">
        <f>IF($B967="PAGADO","PAGADO",IF($B967="APARTADO",IF(NOT(ISNUMBER($C967)),"APARTADO",IF($C967&lt;1,"APARTADO",IF(NOW()-$C967&gt;1,"LIBRE","APARTADO"))),"LIBRE"))</f>
        <v/>
      </c>
      <c r="H967" s="15">
        <f>IF($G967&lt;&gt;"APARTADO","",IF(NOT(ISNUMBER($C967)),"FALTA LA HORA",IF($C967&lt;1,"FALTA LA FECHA",TEXT($C967+1,"dd/mm hh:mm"))))</f>
        <v/>
      </c>
    </row>
    <row r="968">
      <c r="A968" s="13" t="inlineStr">
        <is>
          <t>966</t>
        </is>
      </c>
      <c r="B968" t="inlineStr">
        <is>
          <t>LIBRE</t>
        </is>
      </c>
      <c r="C968" s="14" t="n"/>
      <c r="E968" s="15">
        <f>IF($G968&lt;&gt;"PAGADO","",IFERROR(IF(VLOOKUP($A968,COMPRADORES!$A:$D,4,FALSE)="NO","Reservado",LEFT(VLOOKUP($A968,COMPRADORES!$A:$D,2,FALSE),3)&amp;"***"&amp;IF(TRIM(MID(VLOOKUP($A968,COMPRADORES!$A:$D,2,FALSE)&amp;" ",FIND(" ",VLOOKUP($A968,COMPRADORES!$A:$D,2,FALSE)&amp;" ")+1,99))="",""," "&amp;LEFT(TRIM(MID(VLOOKUP($A968,COMPRADORES!$A:$D,2,FALSE)&amp;" ",FIND(" ",VLOOKUP($A968,COMPRADORES!$A:$D,2,FALSE)&amp;" ")+1,99)),1)&amp;".")),""))</f>
        <v/>
      </c>
      <c r="F968" s="16">
        <f>IF($B968="PAGADO",MID("ABCDEFGHIJ",INT(VALUE($A968)/100)+1,1)&amp;"-"&amp;$A968,"")</f>
        <v/>
      </c>
      <c r="G968" s="16">
        <f>IF($B968="PAGADO","PAGADO",IF($B968="APARTADO",IF(NOT(ISNUMBER($C968)),"APARTADO",IF($C968&lt;1,"APARTADO",IF(NOW()-$C968&gt;1,"LIBRE","APARTADO"))),"LIBRE"))</f>
        <v/>
      </c>
      <c r="H968" s="15">
        <f>IF($G968&lt;&gt;"APARTADO","",IF(NOT(ISNUMBER($C968)),"FALTA LA HORA",IF($C968&lt;1,"FALTA LA FECHA",TEXT($C968+1,"dd/mm hh:mm"))))</f>
        <v/>
      </c>
    </row>
    <row r="969">
      <c r="A969" s="13" t="inlineStr">
        <is>
          <t>967</t>
        </is>
      </c>
      <c r="B969" t="inlineStr">
        <is>
          <t>LIBRE</t>
        </is>
      </c>
      <c r="C969" s="14" t="n"/>
      <c r="E969" s="15">
        <f>IF($G969&lt;&gt;"PAGADO","",IFERROR(IF(VLOOKUP($A969,COMPRADORES!$A:$D,4,FALSE)="NO","Reservado",LEFT(VLOOKUP($A969,COMPRADORES!$A:$D,2,FALSE),3)&amp;"***"&amp;IF(TRIM(MID(VLOOKUP($A969,COMPRADORES!$A:$D,2,FALSE)&amp;" ",FIND(" ",VLOOKUP($A969,COMPRADORES!$A:$D,2,FALSE)&amp;" ")+1,99))="",""," "&amp;LEFT(TRIM(MID(VLOOKUP($A969,COMPRADORES!$A:$D,2,FALSE)&amp;" ",FIND(" ",VLOOKUP($A969,COMPRADORES!$A:$D,2,FALSE)&amp;" ")+1,99)),1)&amp;".")),""))</f>
        <v/>
      </c>
      <c r="F969" s="16">
        <f>IF($B969="PAGADO",MID("ABCDEFGHIJ",INT(VALUE($A969)/100)+1,1)&amp;"-"&amp;$A969,"")</f>
        <v/>
      </c>
      <c r="G969" s="16">
        <f>IF($B969="PAGADO","PAGADO",IF($B969="APARTADO",IF(NOT(ISNUMBER($C969)),"APARTADO",IF($C969&lt;1,"APARTADO",IF(NOW()-$C969&gt;1,"LIBRE","APARTADO"))),"LIBRE"))</f>
        <v/>
      </c>
      <c r="H969" s="15">
        <f>IF($G969&lt;&gt;"APARTADO","",IF(NOT(ISNUMBER($C969)),"FALTA LA HORA",IF($C969&lt;1,"FALTA LA FECHA",TEXT($C969+1,"dd/mm hh:mm"))))</f>
        <v/>
      </c>
    </row>
    <row r="970">
      <c r="A970" s="13" t="inlineStr">
        <is>
          <t>968</t>
        </is>
      </c>
      <c r="B970" t="inlineStr">
        <is>
          <t>LIBRE</t>
        </is>
      </c>
      <c r="C970" s="14" t="n"/>
      <c r="E970" s="15">
        <f>IF($G970&lt;&gt;"PAGADO","",IFERROR(IF(VLOOKUP($A970,COMPRADORES!$A:$D,4,FALSE)="NO","Reservado",LEFT(VLOOKUP($A970,COMPRADORES!$A:$D,2,FALSE),3)&amp;"***"&amp;IF(TRIM(MID(VLOOKUP($A970,COMPRADORES!$A:$D,2,FALSE)&amp;" ",FIND(" ",VLOOKUP($A970,COMPRADORES!$A:$D,2,FALSE)&amp;" ")+1,99))="",""," "&amp;LEFT(TRIM(MID(VLOOKUP($A970,COMPRADORES!$A:$D,2,FALSE)&amp;" ",FIND(" ",VLOOKUP($A970,COMPRADORES!$A:$D,2,FALSE)&amp;" ")+1,99)),1)&amp;".")),""))</f>
        <v/>
      </c>
      <c r="F970" s="16">
        <f>IF($B970="PAGADO",MID("ABCDEFGHIJ",INT(VALUE($A970)/100)+1,1)&amp;"-"&amp;$A970,"")</f>
        <v/>
      </c>
      <c r="G970" s="16">
        <f>IF($B970="PAGADO","PAGADO",IF($B970="APARTADO",IF(NOT(ISNUMBER($C970)),"APARTADO",IF($C970&lt;1,"APARTADO",IF(NOW()-$C970&gt;1,"LIBRE","APARTADO"))),"LIBRE"))</f>
        <v/>
      </c>
      <c r="H970" s="15">
        <f>IF($G970&lt;&gt;"APARTADO","",IF(NOT(ISNUMBER($C970)),"FALTA LA HORA",IF($C970&lt;1,"FALTA LA FECHA",TEXT($C970+1,"dd/mm hh:mm"))))</f>
        <v/>
      </c>
    </row>
    <row r="971">
      <c r="A971" s="13" t="inlineStr">
        <is>
          <t>969</t>
        </is>
      </c>
      <c r="B971" t="inlineStr">
        <is>
          <t>LIBRE</t>
        </is>
      </c>
      <c r="C971" s="14" t="n"/>
      <c r="E971" s="15">
        <f>IF($G971&lt;&gt;"PAGADO","",IFERROR(IF(VLOOKUP($A971,COMPRADORES!$A:$D,4,FALSE)="NO","Reservado",LEFT(VLOOKUP($A971,COMPRADORES!$A:$D,2,FALSE),3)&amp;"***"&amp;IF(TRIM(MID(VLOOKUP($A971,COMPRADORES!$A:$D,2,FALSE)&amp;" ",FIND(" ",VLOOKUP($A971,COMPRADORES!$A:$D,2,FALSE)&amp;" ")+1,99))="",""," "&amp;LEFT(TRIM(MID(VLOOKUP($A971,COMPRADORES!$A:$D,2,FALSE)&amp;" ",FIND(" ",VLOOKUP($A971,COMPRADORES!$A:$D,2,FALSE)&amp;" ")+1,99)),1)&amp;".")),""))</f>
        <v/>
      </c>
      <c r="F971" s="16">
        <f>IF($B971="PAGADO",MID("ABCDEFGHIJ",INT(VALUE($A971)/100)+1,1)&amp;"-"&amp;$A971,"")</f>
        <v/>
      </c>
      <c r="G971" s="16">
        <f>IF($B971="PAGADO","PAGADO",IF($B971="APARTADO",IF(NOT(ISNUMBER($C971)),"APARTADO",IF($C971&lt;1,"APARTADO",IF(NOW()-$C971&gt;1,"LIBRE","APARTADO"))),"LIBRE"))</f>
        <v/>
      </c>
      <c r="H971" s="15">
        <f>IF($G971&lt;&gt;"APARTADO","",IF(NOT(ISNUMBER($C971)),"FALTA LA HORA",IF($C971&lt;1,"FALTA LA FECHA",TEXT($C971+1,"dd/mm hh:mm"))))</f>
        <v/>
      </c>
    </row>
    <row r="972">
      <c r="A972" s="13" t="inlineStr">
        <is>
          <t>970</t>
        </is>
      </c>
      <c r="B972" t="inlineStr">
        <is>
          <t>LIBRE</t>
        </is>
      </c>
      <c r="C972" s="14" t="n"/>
      <c r="E972" s="15">
        <f>IF($G972&lt;&gt;"PAGADO","",IFERROR(IF(VLOOKUP($A972,COMPRADORES!$A:$D,4,FALSE)="NO","Reservado",LEFT(VLOOKUP($A972,COMPRADORES!$A:$D,2,FALSE),3)&amp;"***"&amp;IF(TRIM(MID(VLOOKUP($A972,COMPRADORES!$A:$D,2,FALSE)&amp;" ",FIND(" ",VLOOKUP($A972,COMPRADORES!$A:$D,2,FALSE)&amp;" ")+1,99))="",""," "&amp;LEFT(TRIM(MID(VLOOKUP($A972,COMPRADORES!$A:$D,2,FALSE)&amp;" ",FIND(" ",VLOOKUP($A972,COMPRADORES!$A:$D,2,FALSE)&amp;" ")+1,99)),1)&amp;".")),""))</f>
        <v/>
      </c>
      <c r="F972" s="16">
        <f>IF($B972="PAGADO",MID("ABCDEFGHIJ",INT(VALUE($A972)/100)+1,1)&amp;"-"&amp;$A972,"")</f>
        <v/>
      </c>
      <c r="G972" s="16">
        <f>IF($B972="PAGADO","PAGADO",IF($B972="APARTADO",IF(NOT(ISNUMBER($C972)),"APARTADO",IF($C972&lt;1,"APARTADO",IF(NOW()-$C972&gt;1,"LIBRE","APARTADO"))),"LIBRE"))</f>
        <v/>
      </c>
      <c r="H972" s="15">
        <f>IF($G972&lt;&gt;"APARTADO","",IF(NOT(ISNUMBER($C972)),"FALTA LA HORA",IF($C972&lt;1,"FALTA LA FECHA",TEXT($C972+1,"dd/mm hh:mm"))))</f>
        <v/>
      </c>
    </row>
    <row r="973">
      <c r="A973" s="13" t="inlineStr">
        <is>
          <t>971</t>
        </is>
      </c>
      <c r="B973" t="inlineStr">
        <is>
          <t>LIBRE</t>
        </is>
      </c>
      <c r="C973" s="14" t="n"/>
      <c r="E973" s="15">
        <f>IF($G973&lt;&gt;"PAGADO","",IFERROR(IF(VLOOKUP($A973,COMPRADORES!$A:$D,4,FALSE)="NO","Reservado",LEFT(VLOOKUP($A973,COMPRADORES!$A:$D,2,FALSE),3)&amp;"***"&amp;IF(TRIM(MID(VLOOKUP($A973,COMPRADORES!$A:$D,2,FALSE)&amp;" ",FIND(" ",VLOOKUP($A973,COMPRADORES!$A:$D,2,FALSE)&amp;" ")+1,99))="",""," "&amp;LEFT(TRIM(MID(VLOOKUP($A973,COMPRADORES!$A:$D,2,FALSE)&amp;" ",FIND(" ",VLOOKUP($A973,COMPRADORES!$A:$D,2,FALSE)&amp;" ")+1,99)),1)&amp;".")),""))</f>
        <v/>
      </c>
      <c r="F973" s="16">
        <f>IF($B973="PAGADO",MID("ABCDEFGHIJ",INT(VALUE($A973)/100)+1,1)&amp;"-"&amp;$A973,"")</f>
        <v/>
      </c>
      <c r="G973" s="16">
        <f>IF($B973="PAGADO","PAGADO",IF($B973="APARTADO",IF(NOT(ISNUMBER($C973)),"APARTADO",IF($C973&lt;1,"APARTADO",IF(NOW()-$C973&gt;1,"LIBRE","APARTADO"))),"LIBRE"))</f>
        <v/>
      </c>
      <c r="H973" s="15">
        <f>IF($G973&lt;&gt;"APARTADO","",IF(NOT(ISNUMBER($C973)),"FALTA LA HORA",IF($C973&lt;1,"FALTA LA FECHA",TEXT($C973+1,"dd/mm hh:mm"))))</f>
        <v/>
      </c>
    </row>
    <row r="974">
      <c r="A974" s="13" t="inlineStr">
        <is>
          <t>972</t>
        </is>
      </c>
      <c r="B974" t="inlineStr">
        <is>
          <t>LIBRE</t>
        </is>
      </c>
      <c r="C974" s="14" t="n"/>
      <c r="E974" s="15">
        <f>IF($G974&lt;&gt;"PAGADO","",IFERROR(IF(VLOOKUP($A974,COMPRADORES!$A:$D,4,FALSE)="NO","Reservado",LEFT(VLOOKUP($A974,COMPRADORES!$A:$D,2,FALSE),3)&amp;"***"&amp;IF(TRIM(MID(VLOOKUP($A974,COMPRADORES!$A:$D,2,FALSE)&amp;" ",FIND(" ",VLOOKUP($A974,COMPRADORES!$A:$D,2,FALSE)&amp;" ")+1,99))="",""," "&amp;LEFT(TRIM(MID(VLOOKUP($A974,COMPRADORES!$A:$D,2,FALSE)&amp;" ",FIND(" ",VLOOKUP($A974,COMPRADORES!$A:$D,2,FALSE)&amp;" ")+1,99)),1)&amp;".")),""))</f>
        <v/>
      </c>
      <c r="F974" s="16">
        <f>IF($B974="PAGADO",MID("ABCDEFGHIJ",INT(VALUE($A974)/100)+1,1)&amp;"-"&amp;$A974,"")</f>
        <v/>
      </c>
      <c r="G974" s="16">
        <f>IF($B974="PAGADO","PAGADO",IF($B974="APARTADO",IF(NOT(ISNUMBER($C974)),"APARTADO",IF($C974&lt;1,"APARTADO",IF(NOW()-$C974&gt;1,"LIBRE","APARTADO"))),"LIBRE"))</f>
        <v/>
      </c>
      <c r="H974" s="15">
        <f>IF($G974&lt;&gt;"APARTADO","",IF(NOT(ISNUMBER($C974)),"FALTA LA HORA",IF($C974&lt;1,"FALTA LA FECHA",TEXT($C974+1,"dd/mm hh:mm"))))</f>
        <v/>
      </c>
    </row>
    <row r="975">
      <c r="A975" s="13" t="inlineStr">
        <is>
          <t>973</t>
        </is>
      </c>
      <c r="B975" t="inlineStr">
        <is>
          <t>LIBRE</t>
        </is>
      </c>
      <c r="C975" s="14" t="n"/>
      <c r="E975" s="15">
        <f>IF($G975&lt;&gt;"PAGADO","",IFERROR(IF(VLOOKUP($A975,COMPRADORES!$A:$D,4,FALSE)="NO","Reservado",LEFT(VLOOKUP($A975,COMPRADORES!$A:$D,2,FALSE),3)&amp;"***"&amp;IF(TRIM(MID(VLOOKUP($A975,COMPRADORES!$A:$D,2,FALSE)&amp;" ",FIND(" ",VLOOKUP($A975,COMPRADORES!$A:$D,2,FALSE)&amp;" ")+1,99))="",""," "&amp;LEFT(TRIM(MID(VLOOKUP($A975,COMPRADORES!$A:$D,2,FALSE)&amp;" ",FIND(" ",VLOOKUP($A975,COMPRADORES!$A:$D,2,FALSE)&amp;" ")+1,99)),1)&amp;".")),""))</f>
        <v/>
      </c>
      <c r="F975" s="16">
        <f>IF($B975="PAGADO",MID("ABCDEFGHIJ",INT(VALUE($A975)/100)+1,1)&amp;"-"&amp;$A975,"")</f>
        <v/>
      </c>
      <c r="G975" s="16">
        <f>IF($B975="PAGADO","PAGADO",IF($B975="APARTADO",IF(NOT(ISNUMBER($C975)),"APARTADO",IF($C975&lt;1,"APARTADO",IF(NOW()-$C975&gt;1,"LIBRE","APARTADO"))),"LIBRE"))</f>
        <v/>
      </c>
      <c r="H975" s="15">
        <f>IF($G975&lt;&gt;"APARTADO","",IF(NOT(ISNUMBER($C975)),"FALTA LA HORA",IF($C975&lt;1,"FALTA LA FECHA",TEXT($C975+1,"dd/mm hh:mm"))))</f>
        <v/>
      </c>
    </row>
    <row r="976">
      <c r="A976" s="13" t="inlineStr">
        <is>
          <t>974</t>
        </is>
      </c>
      <c r="B976" t="inlineStr">
        <is>
          <t>LIBRE</t>
        </is>
      </c>
      <c r="C976" s="14" t="n"/>
      <c r="E976" s="15">
        <f>IF($G976&lt;&gt;"PAGADO","",IFERROR(IF(VLOOKUP($A976,COMPRADORES!$A:$D,4,FALSE)="NO","Reservado",LEFT(VLOOKUP($A976,COMPRADORES!$A:$D,2,FALSE),3)&amp;"***"&amp;IF(TRIM(MID(VLOOKUP($A976,COMPRADORES!$A:$D,2,FALSE)&amp;" ",FIND(" ",VLOOKUP($A976,COMPRADORES!$A:$D,2,FALSE)&amp;" ")+1,99))="",""," "&amp;LEFT(TRIM(MID(VLOOKUP($A976,COMPRADORES!$A:$D,2,FALSE)&amp;" ",FIND(" ",VLOOKUP($A976,COMPRADORES!$A:$D,2,FALSE)&amp;" ")+1,99)),1)&amp;".")),""))</f>
        <v/>
      </c>
      <c r="F976" s="16">
        <f>IF($B976="PAGADO",MID("ABCDEFGHIJ",INT(VALUE($A976)/100)+1,1)&amp;"-"&amp;$A976,"")</f>
        <v/>
      </c>
      <c r="G976" s="16">
        <f>IF($B976="PAGADO","PAGADO",IF($B976="APARTADO",IF(NOT(ISNUMBER($C976)),"APARTADO",IF($C976&lt;1,"APARTADO",IF(NOW()-$C976&gt;1,"LIBRE","APARTADO"))),"LIBRE"))</f>
        <v/>
      </c>
      <c r="H976" s="15">
        <f>IF($G976&lt;&gt;"APARTADO","",IF(NOT(ISNUMBER($C976)),"FALTA LA HORA",IF($C976&lt;1,"FALTA LA FECHA",TEXT($C976+1,"dd/mm hh:mm"))))</f>
        <v/>
      </c>
    </row>
    <row r="977">
      <c r="A977" s="13" t="inlineStr">
        <is>
          <t>975</t>
        </is>
      </c>
      <c r="B977" t="inlineStr">
        <is>
          <t>LIBRE</t>
        </is>
      </c>
      <c r="C977" s="14" t="n"/>
      <c r="E977" s="15">
        <f>IF($G977&lt;&gt;"PAGADO","",IFERROR(IF(VLOOKUP($A977,COMPRADORES!$A:$D,4,FALSE)="NO","Reservado",LEFT(VLOOKUP($A977,COMPRADORES!$A:$D,2,FALSE),3)&amp;"***"&amp;IF(TRIM(MID(VLOOKUP($A977,COMPRADORES!$A:$D,2,FALSE)&amp;" ",FIND(" ",VLOOKUP($A977,COMPRADORES!$A:$D,2,FALSE)&amp;" ")+1,99))="",""," "&amp;LEFT(TRIM(MID(VLOOKUP($A977,COMPRADORES!$A:$D,2,FALSE)&amp;" ",FIND(" ",VLOOKUP($A977,COMPRADORES!$A:$D,2,FALSE)&amp;" ")+1,99)),1)&amp;".")),""))</f>
        <v/>
      </c>
      <c r="F977" s="16">
        <f>IF($B977="PAGADO",MID("ABCDEFGHIJ",INT(VALUE($A977)/100)+1,1)&amp;"-"&amp;$A977,"")</f>
        <v/>
      </c>
      <c r="G977" s="16">
        <f>IF($B977="PAGADO","PAGADO",IF($B977="APARTADO",IF(NOT(ISNUMBER($C977)),"APARTADO",IF($C977&lt;1,"APARTADO",IF(NOW()-$C977&gt;1,"LIBRE","APARTADO"))),"LIBRE"))</f>
        <v/>
      </c>
      <c r="H977" s="15">
        <f>IF($G977&lt;&gt;"APARTADO","",IF(NOT(ISNUMBER($C977)),"FALTA LA HORA",IF($C977&lt;1,"FALTA LA FECHA",TEXT($C977+1,"dd/mm hh:mm"))))</f>
        <v/>
      </c>
    </row>
    <row r="978">
      <c r="A978" s="13" t="inlineStr">
        <is>
          <t>976</t>
        </is>
      </c>
      <c r="B978" t="inlineStr">
        <is>
          <t>LIBRE</t>
        </is>
      </c>
      <c r="C978" s="14" t="n"/>
      <c r="E978" s="15">
        <f>IF($G978&lt;&gt;"PAGADO","",IFERROR(IF(VLOOKUP($A978,COMPRADORES!$A:$D,4,FALSE)="NO","Reservado",LEFT(VLOOKUP($A978,COMPRADORES!$A:$D,2,FALSE),3)&amp;"***"&amp;IF(TRIM(MID(VLOOKUP($A978,COMPRADORES!$A:$D,2,FALSE)&amp;" ",FIND(" ",VLOOKUP($A978,COMPRADORES!$A:$D,2,FALSE)&amp;" ")+1,99))="",""," "&amp;LEFT(TRIM(MID(VLOOKUP($A978,COMPRADORES!$A:$D,2,FALSE)&amp;" ",FIND(" ",VLOOKUP($A978,COMPRADORES!$A:$D,2,FALSE)&amp;" ")+1,99)),1)&amp;".")),""))</f>
        <v/>
      </c>
      <c r="F978" s="16">
        <f>IF($B978="PAGADO",MID("ABCDEFGHIJ",INT(VALUE($A978)/100)+1,1)&amp;"-"&amp;$A978,"")</f>
        <v/>
      </c>
      <c r="G978" s="16">
        <f>IF($B978="PAGADO","PAGADO",IF($B978="APARTADO",IF(NOT(ISNUMBER($C978)),"APARTADO",IF($C978&lt;1,"APARTADO",IF(NOW()-$C978&gt;1,"LIBRE","APARTADO"))),"LIBRE"))</f>
        <v/>
      </c>
      <c r="H978" s="15">
        <f>IF($G978&lt;&gt;"APARTADO","",IF(NOT(ISNUMBER($C978)),"FALTA LA HORA",IF($C978&lt;1,"FALTA LA FECHA",TEXT($C978+1,"dd/mm hh:mm"))))</f>
        <v/>
      </c>
    </row>
    <row r="979">
      <c r="A979" s="13" t="inlineStr">
        <is>
          <t>977</t>
        </is>
      </c>
      <c r="B979" t="inlineStr">
        <is>
          <t>LIBRE</t>
        </is>
      </c>
      <c r="C979" s="14" t="n"/>
      <c r="E979" s="15">
        <f>IF($G979&lt;&gt;"PAGADO","",IFERROR(IF(VLOOKUP($A979,COMPRADORES!$A:$D,4,FALSE)="NO","Reservado",LEFT(VLOOKUP($A979,COMPRADORES!$A:$D,2,FALSE),3)&amp;"***"&amp;IF(TRIM(MID(VLOOKUP($A979,COMPRADORES!$A:$D,2,FALSE)&amp;" ",FIND(" ",VLOOKUP($A979,COMPRADORES!$A:$D,2,FALSE)&amp;" ")+1,99))="",""," "&amp;LEFT(TRIM(MID(VLOOKUP($A979,COMPRADORES!$A:$D,2,FALSE)&amp;" ",FIND(" ",VLOOKUP($A979,COMPRADORES!$A:$D,2,FALSE)&amp;" ")+1,99)),1)&amp;".")),""))</f>
        <v/>
      </c>
      <c r="F979" s="16">
        <f>IF($B979="PAGADO",MID("ABCDEFGHIJ",INT(VALUE($A979)/100)+1,1)&amp;"-"&amp;$A979,"")</f>
        <v/>
      </c>
      <c r="G979" s="16">
        <f>IF($B979="PAGADO","PAGADO",IF($B979="APARTADO",IF(NOT(ISNUMBER($C979)),"APARTADO",IF($C979&lt;1,"APARTADO",IF(NOW()-$C979&gt;1,"LIBRE","APARTADO"))),"LIBRE"))</f>
        <v/>
      </c>
      <c r="H979" s="15">
        <f>IF($G979&lt;&gt;"APARTADO","",IF(NOT(ISNUMBER($C979)),"FALTA LA HORA",IF($C979&lt;1,"FALTA LA FECHA",TEXT($C979+1,"dd/mm hh:mm"))))</f>
        <v/>
      </c>
    </row>
    <row r="980">
      <c r="A980" s="13" t="inlineStr">
        <is>
          <t>978</t>
        </is>
      </c>
      <c r="B980" t="inlineStr">
        <is>
          <t>LIBRE</t>
        </is>
      </c>
      <c r="C980" s="14" t="n"/>
      <c r="E980" s="15">
        <f>IF($G980&lt;&gt;"PAGADO","",IFERROR(IF(VLOOKUP($A980,COMPRADORES!$A:$D,4,FALSE)="NO","Reservado",LEFT(VLOOKUP($A980,COMPRADORES!$A:$D,2,FALSE),3)&amp;"***"&amp;IF(TRIM(MID(VLOOKUP($A980,COMPRADORES!$A:$D,2,FALSE)&amp;" ",FIND(" ",VLOOKUP($A980,COMPRADORES!$A:$D,2,FALSE)&amp;" ")+1,99))="",""," "&amp;LEFT(TRIM(MID(VLOOKUP($A980,COMPRADORES!$A:$D,2,FALSE)&amp;" ",FIND(" ",VLOOKUP($A980,COMPRADORES!$A:$D,2,FALSE)&amp;" ")+1,99)),1)&amp;".")),""))</f>
        <v/>
      </c>
      <c r="F980" s="16">
        <f>IF($B980="PAGADO",MID("ABCDEFGHIJ",INT(VALUE($A980)/100)+1,1)&amp;"-"&amp;$A980,"")</f>
        <v/>
      </c>
      <c r="G980" s="16">
        <f>IF($B980="PAGADO","PAGADO",IF($B980="APARTADO",IF(NOT(ISNUMBER($C980)),"APARTADO",IF($C980&lt;1,"APARTADO",IF(NOW()-$C980&gt;1,"LIBRE","APARTADO"))),"LIBRE"))</f>
        <v/>
      </c>
      <c r="H980" s="15">
        <f>IF($G980&lt;&gt;"APARTADO","",IF(NOT(ISNUMBER($C980)),"FALTA LA HORA",IF($C980&lt;1,"FALTA LA FECHA",TEXT($C980+1,"dd/mm hh:mm"))))</f>
        <v/>
      </c>
    </row>
    <row r="981">
      <c r="A981" s="13" t="inlineStr">
        <is>
          <t>979</t>
        </is>
      </c>
      <c r="B981" t="inlineStr">
        <is>
          <t>LIBRE</t>
        </is>
      </c>
      <c r="C981" s="14" t="n"/>
      <c r="E981" s="15">
        <f>IF($G981&lt;&gt;"PAGADO","",IFERROR(IF(VLOOKUP($A981,COMPRADORES!$A:$D,4,FALSE)="NO","Reservado",LEFT(VLOOKUP($A981,COMPRADORES!$A:$D,2,FALSE),3)&amp;"***"&amp;IF(TRIM(MID(VLOOKUP($A981,COMPRADORES!$A:$D,2,FALSE)&amp;" ",FIND(" ",VLOOKUP($A981,COMPRADORES!$A:$D,2,FALSE)&amp;" ")+1,99))="",""," "&amp;LEFT(TRIM(MID(VLOOKUP($A981,COMPRADORES!$A:$D,2,FALSE)&amp;" ",FIND(" ",VLOOKUP($A981,COMPRADORES!$A:$D,2,FALSE)&amp;" ")+1,99)),1)&amp;".")),""))</f>
        <v/>
      </c>
      <c r="F981" s="16">
        <f>IF($B981="PAGADO",MID("ABCDEFGHIJ",INT(VALUE($A981)/100)+1,1)&amp;"-"&amp;$A981,"")</f>
        <v/>
      </c>
      <c r="G981" s="16">
        <f>IF($B981="PAGADO","PAGADO",IF($B981="APARTADO",IF(NOT(ISNUMBER($C981)),"APARTADO",IF($C981&lt;1,"APARTADO",IF(NOW()-$C981&gt;1,"LIBRE","APARTADO"))),"LIBRE"))</f>
        <v/>
      </c>
      <c r="H981" s="15">
        <f>IF($G981&lt;&gt;"APARTADO","",IF(NOT(ISNUMBER($C981)),"FALTA LA HORA",IF($C981&lt;1,"FALTA LA FECHA",TEXT($C981+1,"dd/mm hh:mm"))))</f>
        <v/>
      </c>
    </row>
    <row r="982">
      <c r="A982" s="13" t="inlineStr">
        <is>
          <t>980</t>
        </is>
      </c>
      <c r="B982" t="inlineStr">
        <is>
          <t>LIBRE</t>
        </is>
      </c>
      <c r="C982" s="14" t="n"/>
      <c r="E982" s="15">
        <f>IF($G982&lt;&gt;"PAGADO","",IFERROR(IF(VLOOKUP($A982,COMPRADORES!$A:$D,4,FALSE)="NO","Reservado",LEFT(VLOOKUP($A982,COMPRADORES!$A:$D,2,FALSE),3)&amp;"***"&amp;IF(TRIM(MID(VLOOKUP($A982,COMPRADORES!$A:$D,2,FALSE)&amp;" ",FIND(" ",VLOOKUP($A982,COMPRADORES!$A:$D,2,FALSE)&amp;" ")+1,99))="",""," "&amp;LEFT(TRIM(MID(VLOOKUP($A982,COMPRADORES!$A:$D,2,FALSE)&amp;" ",FIND(" ",VLOOKUP($A982,COMPRADORES!$A:$D,2,FALSE)&amp;" ")+1,99)),1)&amp;".")),""))</f>
        <v/>
      </c>
      <c r="F982" s="16">
        <f>IF($B982="PAGADO",MID("ABCDEFGHIJ",INT(VALUE($A982)/100)+1,1)&amp;"-"&amp;$A982,"")</f>
        <v/>
      </c>
      <c r="G982" s="16">
        <f>IF($B982="PAGADO","PAGADO",IF($B982="APARTADO",IF(NOT(ISNUMBER($C982)),"APARTADO",IF($C982&lt;1,"APARTADO",IF(NOW()-$C982&gt;1,"LIBRE","APARTADO"))),"LIBRE"))</f>
        <v/>
      </c>
      <c r="H982" s="15">
        <f>IF($G982&lt;&gt;"APARTADO","",IF(NOT(ISNUMBER($C982)),"FALTA LA HORA",IF($C982&lt;1,"FALTA LA FECHA",TEXT($C982+1,"dd/mm hh:mm"))))</f>
        <v/>
      </c>
    </row>
    <row r="983">
      <c r="A983" s="13" t="inlineStr">
        <is>
          <t>981</t>
        </is>
      </c>
      <c r="B983" t="inlineStr">
        <is>
          <t>LIBRE</t>
        </is>
      </c>
      <c r="C983" s="14" t="n"/>
      <c r="E983" s="15">
        <f>IF($G983&lt;&gt;"PAGADO","",IFERROR(IF(VLOOKUP($A983,COMPRADORES!$A:$D,4,FALSE)="NO","Reservado",LEFT(VLOOKUP($A983,COMPRADORES!$A:$D,2,FALSE),3)&amp;"***"&amp;IF(TRIM(MID(VLOOKUP($A983,COMPRADORES!$A:$D,2,FALSE)&amp;" ",FIND(" ",VLOOKUP($A983,COMPRADORES!$A:$D,2,FALSE)&amp;" ")+1,99))="",""," "&amp;LEFT(TRIM(MID(VLOOKUP($A983,COMPRADORES!$A:$D,2,FALSE)&amp;" ",FIND(" ",VLOOKUP($A983,COMPRADORES!$A:$D,2,FALSE)&amp;" ")+1,99)),1)&amp;".")),""))</f>
        <v/>
      </c>
      <c r="F983" s="16">
        <f>IF($B983="PAGADO",MID("ABCDEFGHIJ",INT(VALUE($A983)/100)+1,1)&amp;"-"&amp;$A983,"")</f>
        <v/>
      </c>
      <c r="G983" s="16">
        <f>IF($B983="PAGADO","PAGADO",IF($B983="APARTADO",IF(NOT(ISNUMBER($C983)),"APARTADO",IF($C983&lt;1,"APARTADO",IF(NOW()-$C983&gt;1,"LIBRE","APARTADO"))),"LIBRE"))</f>
        <v/>
      </c>
      <c r="H983" s="15">
        <f>IF($G983&lt;&gt;"APARTADO","",IF(NOT(ISNUMBER($C983)),"FALTA LA HORA",IF($C983&lt;1,"FALTA LA FECHA",TEXT($C983+1,"dd/mm hh:mm"))))</f>
        <v/>
      </c>
    </row>
    <row r="984">
      <c r="A984" s="13" t="inlineStr">
        <is>
          <t>982</t>
        </is>
      </c>
      <c r="B984" t="inlineStr">
        <is>
          <t>LIBRE</t>
        </is>
      </c>
      <c r="C984" s="14" t="n"/>
      <c r="E984" s="15">
        <f>IF($G984&lt;&gt;"PAGADO","",IFERROR(IF(VLOOKUP($A984,COMPRADORES!$A:$D,4,FALSE)="NO","Reservado",LEFT(VLOOKUP($A984,COMPRADORES!$A:$D,2,FALSE),3)&amp;"***"&amp;IF(TRIM(MID(VLOOKUP($A984,COMPRADORES!$A:$D,2,FALSE)&amp;" ",FIND(" ",VLOOKUP($A984,COMPRADORES!$A:$D,2,FALSE)&amp;" ")+1,99))="",""," "&amp;LEFT(TRIM(MID(VLOOKUP($A984,COMPRADORES!$A:$D,2,FALSE)&amp;" ",FIND(" ",VLOOKUP($A984,COMPRADORES!$A:$D,2,FALSE)&amp;" ")+1,99)),1)&amp;".")),""))</f>
        <v/>
      </c>
      <c r="F984" s="16">
        <f>IF($B984="PAGADO",MID("ABCDEFGHIJ",INT(VALUE($A984)/100)+1,1)&amp;"-"&amp;$A984,"")</f>
        <v/>
      </c>
      <c r="G984" s="16">
        <f>IF($B984="PAGADO","PAGADO",IF($B984="APARTADO",IF(NOT(ISNUMBER($C984)),"APARTADO",IF($C984&lt;1,"APARTADO",IF(NOW()-$C984&gt;1,"LIBRE","APARTADO"))),"LIBRE"))</f>
        <v/>
      </c>
      <c r="H984" s="15">
        <f>IF($G984&lt;&gt;"APARTADO","",IF(NOT(ISNUMBER($C984)),"FALTA LA HORA",IF($C984&lt;1,"FALTA LA FECHA",TEXT($C984+1,"dd/mm hh:mm"))))</f>
        <v/>
      </c>
    </row>
    <row r="985">
      <c r="A985" s="13" t="inlineStr">
        <is>
          <t>983</t>
        </is>
      </c>
      <c r="B985" t="inlineStr">
        <is>
          <t>LIBRE</t>
        </is>
      </c>
      <c r="C985" s="14" t="n"/>
      <c r="E985" s="15">
        <f>IF($G985&lt;&gt;"PAGADO","",IFERROR(IF(VLOOKUP($A985,COMPRADORES!$A:$D,4,FALSE)="NO","Reservado",LEFT(VLOOKUP($A985,COMPRADORES!$A:$D,2,FALSE),3)&amp;"***"&amp;IF(TRIM(MID(VLOOKUP($A985,COMPRADORES!$A:$D,2,FALSE)&amp;" ",FIND(" ",VLOOKUP($A985,COMPRADORES!$A:$D,2,FALSE)&amp;" ")+1,99))="",""," "&amp;LEFT(TRIM(MID(VLOOKUP($A985,COMPRADORES!$A:$D,2,FALSE)&amp;" ",FIND(" ",VLOOKUP($A985,COMPRADORES!$A:$D,2,FALSE)&amp;" ")+1,99)),1)&amp;".")),""))</f>
        <v/>
      </c>
      <c r="F985" s="16">
        <f>IF($B985="PAGADO",MID("ABCDEFGHIJ",INT(VALUE($A985)/100)+1,1)&amp;"-"&amp;$A985,"")</f>
        <v/>
      </c>
      <c r="G985" s="16">
        <f>IF($B985="PAGADO","PAGADO",IF($B985="APARTADO",IF(NOT(ISNUMBER($C985)),"APARTADO",IF($C985&lt;1,"APARTADO",IF(NOW()-$C985&gt;1,"LIBRE","APARTADO"))),"LIBRE"))</f>
        <v/>
      </c>
      <c r="H985" s="15">
        <f>IF($G985&lt;&gt;"APARTADO","",IF(NOT(ISNUMBER($C985)),"FALTA LA HORA",IF($C985&lt;1,"FALTA LA FECHA",TEXT($C985+1,"dd/mm hh:mm"))))</f>
        <v/>
      </c>
    </row>
    <row r="986">
      <c r="A986" s="13" t="inlineStr">
        <is>
          <t>984</t>
        </is>
      </c>
      <c r="B986" t="inlineStr">
        <is>
          <t>LIBRE</t>
        </is>
      </c>
      <c r="C986" s="14" t="n"/>
      <c r="E986" s="15">
        <f>IF($G986&lt;&gt;"PAGADO","",IFERROR(IF(VLOOKUP($A986,COMPRADORES!$A:$D,4,FALSE)="NO","Reservado",LEFT(VLOOKUP($A986,COMPRADORES!$A:$D,2,FALSE),3)&amp;"***"&amp;IF(TRIM(MID(VLOOKUP($A986,COMPRADORES!$A:$D,2,FALSE)&amp;" ",FIND(" ",VLOOKUP($A986,COMPRADORES!$A:$D,2,FALSE)&amp;" ")+1,99))="",""," "&amp;LEFT(TRIM(MID(VLOOKUP($A986,COMPRADORES!$A:$D,2,FALSE)&amp;" ",FIND(" ",VLOOKUP($A986,COMPRADORES!$A:$D,2,FALSE)&amp;" ")+1,99)),1)&amp;".")),""))</f>
        <v/>
      </c>
      <c r="F986" s="16">
        <f>IF($B986="PAGADO",MID("ABCDEFGHIJ",INT(VALUE($A986)/100)+1,1)&amp;"-"&amp;$A986,"")</f>
        <v/>
      </c>
      <c r="G986" s="16">
        <f>IF($B986="PAGADO","PAGADO",IF($B986="APARTADO",IF(NOT(ISNUMBER($C986)),"APARTADO",IF($C986&lt;1,"APARTADO",IF(NOW()-$C986&gt;1,"LIBRE","APARTADO"))),"LIBRE"))</f>
        <v/>
      </c>
      <c r="H986" s="15">
        <f>IF($G986&lt;&gt;"APARTADO","",IF(NOT(ISNUMBER($C986)),"FALTA LA HORA",IF($C986&lt;1,"FALTA LA FECHA",TEXT($C986+1,"dd/mm hh:mm"))))</f>
        <v/>
      </c>
    </row>
    <row r="987">
      <c r="A987" s="13" t="inlineStr">
        <is>
          <t>985</t>
        </is>
      </c>
      <c r="B987" t="inlineStr">
        <is>
          <t>LIBRE</t>
        </is>
      </c>
      <c r="C987" s="14" t="n"/>
      <c r="E987" s="15">
        <f>IF($G987&lt;&gt;"PAGADO","",IFERROR(IF(VLOOKUP($A987,COMPRADORES!$A:$D,4,FALSE)="NO","Reservado",LEFT(VLOOKUP($A987,COMPRADORES!$A:$D,2,FALSE),3)&amp;"***"&amp;IF(TRIM(MID(VLOOKUP($A987,COMPRADORES!$A:$D,2,FALSE)&amp;" ",FIND(" ",VLOOKUP($A987,COMPRADORES!$A:$D,2,FALSE)&amp;" ")+1,99))="",""," "&amp;LEFT(TRIM(MID(VLOOKUP($A987,COMPRADORES!$A:$D,2,FALSE)&amp;" ",FIND(" ",VLOOKUP($A987,COMPRADORES!$A:$D,2,FALSE)&amp;" ")+1,99)),1)&amp;".")),""))</f>
        <v/>
      </c>
      <c r="F987" s="16">
        <f>IF($B987="PAGADO",MID("ABCDEFGHIJ",INT(VALUE($A987)/100)+1,1)&amp;"-"&amp;$A987,"")</f>
        <v/>
      </c>
      <c r="G987" s="16">
        <f>IF($B987="PAGADO","PAGADO",IF($B987="APARTADO",IF(NOT(ISNUMBER($C987)),"APARTADO",IF($C987&lt;1,"APARTADO",IF(NOW()-$C987&gt;1,"LIBRE","APARTADO"))),"LIBRE"))</f>
        <v/>
      </c>
      <c r="H987" s="15">
        <f>IF($G987&lt;&gt;"APARTADO","",IF(NOT(ISNUMBER($C987)),"FALTA LA HORA",IF($C987&lt;1,"FALTA LA FECHA",TEXT($C987+1,"dd/mm hh:mm"))))</f>
        <v/>
      </c>
    </row>
    <row r="988">
      <c r="A988" s="13" t="inlineStr">
        <is>
          <t>986</t>
        </is>
      </c>
      <c r="B988" t="inlineStr">
        <is>
          <t>LIBRE</t>
        </is>
      </c>
      <c r="C988" s="14" t="n"/>
      <c r="E988" s="15">
        <f>IF($G988&lt;&gt;"PAGADO","",IFERROR(IF(VLOOKUP($A988,COMPRADORES!$A:$D,4,FALSE)="NO","Reservado",LEFT(VLOOKUP($A988,COMPRADORES!$A:$D,2,FALSE),3)&amp;"***"&amp;IF(TRIM(MID(VLOOKUP($A988,COMPRADORES!$A:$D,2,FALSE)&amp;" ",FIND(" ",VLOOKUP($A988,COMPRADORES!$A:$D,2,FALSE)&amp;" ")+1,99))="",""," "&amp;LEFT(TRIM(MID(VLOOKUP($A988,COMPRADORES!$A:$D,2,FALSE)&amp;" ",FIND(" ",VLOOKUP($A988,COMPRADORES!$A:$D,2,FALSE)&amp;" ")+1,99)),1)&amp;".")),""))</f>
        <v/>
      </c>
      <c r="F988" s="16">
        <f>IF($B988="PAGADO",MID("ABCDEFGHIJ",INT(VALUE($A988)/100)+1,1)&amp;"-"&amp;$A988,"")</f>
        <v/>
      </c>
      <c r="G988" s="16">
        <f>IF($B988="PAGADO","PAGADO",IF($B988="APARTADO",IF(NOT(ISNUMBER($C988)),"APARTADO",IF($C988&lt;1,"APARTADO",IF(NOW()-$C988&gt;1,"LIBRE","APARTADO"))),"LIBRE"))</f>
        <v/>
      </c>
      <c r="H988" s="15">
        <f>IF($G988&lt;&gt;"APARTADO","",IF(NOT(ISNUMBER($C988)),"FALTA LA HORA",IF($C988&lt;1,"FALTA LA FECHA",TEXT($C988+1,"dd/mm hh:mm"))))</f>
        <v/>
      </c>
    </row>
    <row r="989">
      <c r="A989" s="13" t="inlineStr">
        <is>
          <t>987</t>
        </is>
      </c>
      <c r="B989" t="inlineStr">
        <is>
          <t>LIBRE</t>
        </is>
      </c>
      <c r="C989" s="14" t="n"/>
      <c r="E989" s="15">
        <f>IF($G989&lt;&gt;"PAGADO","",IFERROR(IF(VLOOKUP($A989,COMPRADORES!$A:$D,4,FALSE)="NO","Reservado",LEFT(VLOOKUP($A989,COMPRADORES!$A:$D,2,FALSE),3)&amp;"***"&amp;IF(TRIM(MID(VLOOKUP($A989,COMPRADORES!$A:$D,2,FALSE)&amp;" ",FIND(" ",VLOOKUP($A989,COMPRADORES!$A:$D,2,FALSE)&amp;" ")+1,99))="",""," "&amp;LEFT(TRIM(MID(VLOOKUP($A989,COMPRADORES!$A:$D,2,FALSE)&amp;" ",FIND(" ",VLOOKUP($A989,COMPRADORES!$A:$D,2,FALSE)&amp;" ")+1,99)),1)&amp;".")),""))</f>
        <v/>
      </c>
      <c r="F989" s="16">
        <f>IF($B989="PAGADO",MID("ABCDEFGHIJ",INT(VALUE($A989)/100)+1,1)&amp;"-"&amp;$A989,"")</f>
        <v/>
      </c>
      <c r="G989" s="16">
        <f>IF($B989="PAGADO","PAGADO",IF($B989="APARTADO",IF(NOT(ISNUMBER($C989)),"APARTADO",IF($C989&lt;1,"APARTADO",IF(NOW()-$C989&gt;1,"LIBRE","APARTADO"))),"LIBRE"))</f>
        <v/>
      </c>
      <c r="H989" s="15">
        <f>IF($G989&lt;&gt;"APARTADO","",IF(NOT(ISNUMBER($C989)),"FALTA LA HORA",IF($C989&lt;1,"FALTA LA FECHA",TEXT($C989+1,"dd/mm hh:mm"))))</f>
        <v/>
      </c>
    </row>
    <row r="990">
      <c r="A990" s="13" t="inlineStr">
        <is>
          <t>988</t>
        </is>
      </c>
      <c r="B990" t="inlineStr">
        <is>
          <t>LIBRE</t>
        </is>
      </c>
      <c r="C990" s="14" t="n"/>
      <c r="E990" s="15">
        <f>IF($G990&lt;&gt;"PAGADO","",IFERROR(IF(VLOOKUP($A990,COMPRADORES!$A:$D,4,FALSE)="NO","Reservado",LEFT(VLOOKUP($A990,COMPRADORES!$A:$D,2,FALSE),3)&amp;"***"&amp;IF(TRIM(MID(VLOOKUP($A990,COMPRADORES!$A:$D,2,FALSE)&amp;" ",FIND(" ",VLOOKUP($A990,COMPRADORES!$A:$D,2,FALSE)&amp;" ")+1,99))="",""," "&amp;LEFT(TRIM(MID(VLOOKUP($A990,COMPRADORES!$A:$D,2,FALSE)&amp;" ",FIND(" ",VLOOKUP($A990,COMPRADORES!$A:$D,2,FALSE)&amp;" ")+1,99)),1)&amp;".")),""))</f>
        <v/>
      </c>
      <c r="F990" s="16">
        <f>IF($B990="PAGADO",MID("ABCDEFGHIJ",INT(VALUE($A990)/100)+1,1)&amp;"-"&amp;$A990,"")</f>
        <v/>
      </c>
      <c r="G990" s="16">
        <f>IF($B990="PAGADO","PAGADO",IF($B990="APARTADO",IF(NOT(ISNUMBER($C990)),"APARTADO",IF($C990&lt;1,"APARTADO",IF(NOW()-$C990&gt;1,"LIBRE","APARTADO"))),"LIBRE"))</f>
        <v/>
      </c>
      <c r="H990" s="15">
        <f>IF($G990&lt;&gt;"APARTADO","",IF(NOT(ISNUMBER($C990)),"FALTA LA HORA",IF($C990&lt;1,"FALTA LA FECHA",TEXT($C990+1,"dd/mm hh:mm"))))</f>
        <v/>
      </c>
    </row>
    <row r="991">
      <c r="A991" s="13" t="inlineStr">
        <is>
          <t>989</t>
        </is>
      </c>
      <c r="B991" t="inlineStr">
        <is>
          <t>LIBRE</t>
        </is>
      </c>
      <c r="C991" s="14" t="n"/>
      <c r="E991" s="15">
        <f>IF($G991&lt;&gt;"PAGADO","",IFERROR(IF(VLOOKUP($A991,COMPRADORES!$A:$D,4,FALSE)="NO","Reservado",LEFT(VLOOKUP($A991,COMPRADORES!$A:$D,2,FALSE),3)&amp;"***"&amp;IF(TRIM(MID(VLOOKUP($A991,COMPRADORES!$A:$D,2,FALSE)&amp;" ",FIND(" ",VLOOKUP($A991,COMPRADORES!$A:$D,2,FALSE)&amp;" ")+1,99))="",""," "&amp;LEFT(TRIM(MID(VLOOKUP($A991,COMPRADORES!$A:$D,2,FALSE)&amp;" ",FIND(" ",VLOOKUP($A991,COMPRADORES!$A:$D,2,FALSE)&amp;" ")+1,99)),1)&amp;".")),""))</f>
        <v/>
      </c>
      <c r="F991" s="16">
        <f>IF($B991="PAGADO",MID("ABCDEFGHIJ",INT(VALUE($A991)/100)+1,1)&amp;"-"&amp;$A991,"")</f>
        <v/>
      </c>
      <c r="G991" s="16">
        <f>IF($B991="PAGADO","PAGADO",IF($B991="APARTADO",IF(NOT(ISNUMBER($C991)),"APARTADO",IF($C991&lt;1,"APARTADO",IF(NOW()-$C991&gt;1,"LIBRE","APARTADO"))),"LIBRE"))</f>
        <v/>
      </c>
      <c r="H991" s="15">
        <f>IF($G991&lt;&gt;"APARTADO","",IF(NOT(ISNUMBER($C991)),"FALTA LA HORA",IF($C991&lt;1,"FALTA LA FECHA",TEXT($C991+1,"dd/mm hh:mm"))))</f>
        <v/>
      </c>
    </row>
    <row r="992">
      <c r="A992" s="13" t="inlineStr">
        <is>
          <t>990</t>
        </is>
      </c>
      <c r="B992" t="inlineStr">
        <is>
          <t>LIBRE</t>
        </is>
      </c>
      <c r="C992" s="14" t="n"/>
      <c r="E992" s="15">
        <f>IF($G992&lt;&gt;"PAGADO","",IFERROR(IF(VLOOKUP($A992,COMPRADORES!$A:$D,4,FALSE)="NO","Reservado",LEFT(VLOOKUP($A992,COMPRADORES!$A:$D,2,FALSE),3)&amp;"***"&amp;IF(TRIM(MID(VLOOKUP($A992,COMPRADORES!$A:$D,2,FALSE)&amp;" ",FIND(" ",VLOOKUP($A992,COMPRADORES!$A:$D,2,FALSE)&amp;" ")+1,99))="",""," "&amp;LEFT(TRIM(MID(VLOOKUP($A992,COMPRADORES!$A:$D,2,FALSE)&amp;" ",FIND(" ",VLOOKUP($A992,COMPRADORES!$A:$D,2,FALSE)&amp;" ")+1,99)),1)&amp;".")),""))</f>
        <v/>
      </c>
      <c r="F992" s="16">
        <f>IF($B992="PAGADO",MID("ABCDEFGHIJ",INT(VALUE($A992)/100)+1,1)&amp;"-"&amp;$A992,"")</f>
        <v/>
      </c>
      <c r="G992" s="16">
        <f>IF($B992="PAGADO","PAGADO",IF($B992="APARTADO",IF(NOT(ISNUMBER($C992)),"APARTADO",IF($C992&lt;1,"APARTADO",IF(NOW()-$C992&gt;1,"LIBRE","APARTADO"))),"LIBRE"))</f>
        <v/>
      </c>
      <c r="H992" s="15">
        <f>IF($G992&lt;&gt;"APARTADO","",IF(NOT(ISNUMBER($C992)),"FALTA LA HORA",IF($C992&lt;1,"FALTA LA FECHA",TEXT($C992+1,"dd/mm hh:mm"))))</f>
        <v/>
      </c>
    </row>
    <row r="993">
      <c r="A993" s="13" t="inlineStr">
        <is>
          <t>991</t>
        </is>
      </c>
      <c r="B993" t="inlineStr">
        <is>
          <t>LIBRE</t>
        </is>
      </c>
      <c r="C993" s="14" t="n"/>
      <c r="E993" s="15">
        <f>IF($G993&lt;&gt;"PAGADO","",IFERROR(IF(VLOOKUP($A993,COMPRADORES!$A:$D,4,FALSE)="NO","Reservado",LEFT(VLOOKUP($A993,COMPRADORES!$A:$D,2,FALSE),3)&amp;"***"&amp;IF(TRIM(MID(VLOOKUP($A993,COMPRADORES!$A:$D,2,FALSE)&amp;" ",FIND(" ",VLOOKUP($A993,COMPRADORES!$A:$D,2,FALSE)&amp;" ")+1,99))="",""," "&amp;LEFT(TRIM(MID(VLOOKUP($A993,COMPRADORES!$A:$D,2,FALSE)&amp;" ",FIND(" ",VLOOKUP($A993,COMPRADORES!$A:$D,2,FALSE)&amp;" ")+1,99)),1)&amp;".")),""))</f>
        <v/>
      </c>
      <c r="F993" s="16">
        <f>IF($B993="PAGADO",MID("ABCDEFGHIJ",INT(VALUE($A993)/100)+1,1)&amp;"-"&amp;$A993,"")</f>
        <v/>
      </c>
      <c r="G993" s="16">
        <f>IF($B993="PAGADO","PAGADO",IF($B993="APARTADO",IF(NOT(ISNUMBER($C993)),"APARTADO",IF($C993&lt;1,"APARTADO",IF(NOW()-$C993&gt;1,"LIBRE","APARTADO"))),"LIBRE"))</f>
        <v/>
      </c>
      <c r="H993" s="15">
        <f>IF($G993&lt;&gt;"APARTADO","",IF(NOT(ISNUMBER($C993)),"FALTA LA HORA",IF($C993&lt;1,"FALTA LA FECHA",TEXT($C993+1,"dd/mm hh:mm"))))</f>
        <v/>
      </c>
    </row>
    <row r="994">
      <c r="A994" s="13" t="inlineStr">
        <is>
          <t>992</t>
        </is>
      </c>
      <c r="B994" t="inlineStr">
        <is>
          <t>LIBRE</t>
        </is>
      </c>
      <c r="C994" s="14" t="n"/>
      <c r="E994" s="15">
        <f>IF($G994&lt;&gt;"PAGADO","",IFERROR(IF(VLOOKUP($A994,COMPRADORES!$A:$D,4,FALSE)="NO","Reservado",LEFT(VLOOKUP($A994,COMPRADORES!$A:$D,2,FALSE),3)&amp;"***"&amp;IF(TRIM(MID(VLOOKUP($A994,COMPRADORES!$A:$D,2,FALSE)&amp;" ",FIND(" ",VLOOKUP($A994,COMPRADORES!$A:$D,2,FALSE)&amp;" ")+1,99))="",""," "&amp;LEFT(TRIM(MID(VLOOKUP($A994,COMPRADORES!$A:$D,2,FALSE)&amp;" ",FIND(" ",VLOOKUP($A994,COMPRADORES!$A:$D,2,FALSE)&amp;" ")+1,99)),1)&amp;".")),""))</f>
        <v/>
      </c>
      <c r="F994" s="16">
        <f>IF($B994="PAGADO",MID("ABCDEFGHIJ",INT(VALUE($A994)/100)+1,1)&amp;"-"&amp;$A994,"")</f>
        <v/>
      </c>
      <c r="G994" s="16">
        <f>IF($B994="PAGADO","PAGADO",IF($B994="APARTADO",IF(NOT(ISNUMBER($C994)),"APARTADO",IF($C994&lt;1,"APARTADO",IF(NOW()-$C994&gt;1,"LIBRE","APARTADO"))),"LIBRE"))</f>
        <v/>
      </c>
      <c r="H994" s="15">
        <f>IF($G994&lt;&gt;"APARTADO","",IF(NOT(ISNUMBER($C994)),"FALTA LA HORA",IF($C994&lt;1,"FALTA LA FECHA",TEXT($C994+1,"dd/mm hh:mm"))))</f>
        <v/>
      </c>
    </row>
    <row r="995">
      <c r="A995" s="13" t="inlineStr">
        <is>
          <t>993</t>
        </is>
      </c>
      <c r="B995" t="inlineStr">
        <is>
          <t>LIBRE</t>
        </is>
      </c>
      <c r="C995" s="14" t="n"/>
      <c r="E995" s="15">
        <f>IF($G995&lt;&gt;"PAGADO","",IFERROR(IF(VLOOKUP($A995,COMPRADORES!$A:$D,4,FALSE)="NO","Reservado",LEFT(VLOOKUP($A995,COMPRADORES!$A:$D,2,FALSE),3)&amp;"***"&amp;IF(TRIM(MID(VLOOKUP($A995,COMPRADORES!$A:$D,2,FALSE)&amp;" ",FIND(" ",VLOOKUP($A995,COMPRADORES!$A:$D,2,FALSE)&amp;" ")+1,99))="",""," "&amp;LEFT(TRIM(MID(VLOOKUP($A995,COMPRADORES!$A:$D,2,FALSE)&amp;" ",FIND(" ",VLOOKUP($A995,COMPRADORES!$A:$D,2,FALSE)&amp;" ")+1,99)),1)&amp;".")),""))</f>
        <v/>
      </c>
      <c r="F995" s="16">
        <f>IF($B995="PAGADO",MID("ABCDEFGHIJ",INT(VALUE($A995)/100)+1,1)&amp;"-"&amp;$A995,"")</f>
        <v/>
      </c>
      <c r="G995" s="16">
        <f>IF($B995="PAGADO","PAGADO",IF($B995="APARTADO",IF(NOT(ISNUMBER($C995)),"APARTADO",IF($C995&lt;1,"APARTADO",IF(NOW()-$C995&gt;1,"LIBRE","APARTADO"))),"LIBRE"))</f>
        <v/>
      </c>
      <c r="H995" s="15">
        <f>IF($G995&lt;&gt;"APARTADO","",IF(NOT(ISNUMBER($C995)),"FALTA LA HORA",IF($C995&lt;1,"FALTA LA FECHA",TEXT($C995+1,"dd/mm hh:mm"))))</f>
        <v/>
      </c>
    </row>
    <row r="996">
      <c r="A996" s="13" t="inlineStr">
        <is>
          <t>994</t>
        </is>
      </c>
      <c r="B996" t="inlineStr">
        <is>
          <t>LIBRE</t>
        </is>
      </c>
      <c r="C996" s="14" t="n"/>
      <c r="E996" s="15">
        <f>IF($G996&lt;&gt;"PAGADO","",IFERROR(IF(VLOOKUP($A996,COMPRADORES!$A:$D,4,FALSE)="NO","Reservado",LEFT(VLOOKUP($A996,COMPRADORES!$A:$D,2,FALSE),3)&amp;"***"&amp;IF(TRIM(MID(VLOOKUP($A996,COMPRADORES!$A:$D,2,FALSE)&amp;" ",FIND(" ",VLOOKUP($A996,COMPRADORES!$A:$D,2,FALSE)&amp;" ")+1,99))="",""," "&amp;LEFT(TRIM(MID(VLOOKUP($A996,COMPRADORES!$A:$D,2,FALSE)&amp;" ",FIND(" ",VLOOKUP($A996,COMPRADORES!$A:$D,2,FALSE)&amp;" ")+1,99)),1)&amp;".")),""))</f>
        <v/>
      </c>
      <c r="F996" s="16">
        <f>IF($B996="PAGADO",MID("ABCDEFGHIJ",INT(VALUE($A996)/100)+1,1)&amp;"-"&amp;$A996,"")</f>
        <v/>
      </c>
      <c r="G996" s="16">
        <f>IF($B996="PAGADO","PAGADO",IF($B996="APARTADO",IF(NOT(ISNUMBER($C996)),"APARTADO",IF($C996&lt;1,"APARTADO",IF(NOW()-$C996&gt;1,"LIBRE","APARTADO"))),"LIBRE"))</f>
        <v/>
      </c>
      <c r="H996" s="15">
        <f>IF($G996&lt;&gt;"APARTADO","",IF(NOT(ISNUMBER($C996)),"FALTA LA HORA",IF($C996&lt;1,"FALTA LA FECHA",TEXT($C996+1,"dd/mm hh:mm"))))</f>
        <v/>
      </c>
    </row>
    <row r="997">
      <c r="A997" s="13" t="inlineStr">
        <is>
          <t>995</t>
        </is>
      </c>
      <c r="B997" t="inlineStr">
        <is>
          <t>LIBRE</t>
        </is>
      </c>
      <c r="C997" s="14" t="n"/>
      <c r="E997" s="15">
        <f>IF($G997&lt;&gt;"PAGADO","",IFERROR(IF(VLOOKUP($A997,COMPRADORES!$A:$D,4,FALSE)="NO","Reservado",LEFT(VLOOKUP($A997,COMPRADORES!$A:$D,2,FALSE),3)&amp;"***"&amp;IF(TRIM(MID(VLOOKUP($A997,COMPRADORES!$A:$D,2,FALSE)&amp;" ",FIND(" ",VLOOKUP($A997,COMPRADORES!$A:$D,2,FALSE)&amp;" ")+1,99))="",""," "&amp;LEFT(TRIM(MID(VLOOKUP($A997,COMPRADORES!$A:$D,2,FALSE)&amp;" ",FIND(" ",VLOOKUP($A997,COMPRADORES!$A:$D,2,FALSE)&amp;" ")+1,99)),1)&amp;".")),""))</f>
        <v/>
      </c>
      <c r="F997" s="16">
        <f>IF($B997="PAGADO",MID("ABCDEFGHIJ",INT(VALUE($A997)/100)+1,1)&amp;"-"&amp;$A997,"")</f>
        <v/>
      </c>
      <c r="G997" s="16">
        <f>IF($B997="PAGADO","PAGADO",IF($B997="APARTADO",IF(NOT(ISNUMBER($C997)),"APARTADO",IF($C997&lt;1,"APARTADO",IF(NOW()-$C997&gt;1,"LIBRE","APARTADO"))),"LIBRE"))</f>
        <v/>
      </c>
      <c r="H997" s="15">
        <f>IF($G997&lt;&gt;"APARTADO","",IF(NOT(ISNUMBER($C997)),"FALTA LA HORA",IF($C997&lt;1,"FALTA LA FECHA",TEXT($C997+1,"dd/mm hh:mm"))))</f>
        <v/>
      </c>
    </row>
    <row r="998">
      <c r="A998" s="13" t="inlineStr">
        <is>
          <t>996</t>
        </is>
      </c>
      <c r="B998" t="inlineStr">
        <is>
          <t>LIBRE</t>
        </is>
      </c>
      <c r="C998" s="14" t="n"/>
      <c r="E998" s="15">
        <f>IF($G998&lt;&gt;"PAGADO","",IFERROR(IF(VLOOKUP($A998,COMPRADORES!$A:$D,4,FALSE)="NO","Reservado",LEFT(VLOOKUP($A998,COMPRADORES!$A:$D,2,FALSE),3)&amp;"***"&amp;IF(TRIM(MID(VLOOKUP($A998,COMPRADORES!$A:$D,2,FALSE)&amp;" ",FIND(" ",VLOOKUP($A998,COMPRADORES!$A:$D,2,FALSE)&amp;" ")+1,99))="",""," "&amp;LEFT(TRIM(MID(VLOOKUP($A998,COMPRADORES!$A:$D,2,FALSE)&amp;" ",FIND(" ",VLOOKUP($A998,COMPRADORES!$A:$D,2,FALSE)&amp;" ")+1,99)),1)&amp;".")),""))</f>
        <v/>
      </c>
      <c r="F998" s="16">
        <f>IF($B998="PAGADO",MID("ABCDEFGHIJ",INT(VALUE($A998)/100)+1,1)&amp;"-"&amp;$A998,"")</f>
        <v/>
      </c>
      <c r="G998" s="16">
        <f>IF($B998="PAGADO","PAGADO",IF($B998="APARTADO",IF(NOT(ISNUMBER($C998)),"APARTADO",IF($C998&lt;1,"APARTADO",IF(NOW()-$C998&gt;1,"LIBRE","APARTADO"))),"LIBRE"))</f>
        <v/>
      </c>
      <c r="H998" s="15">
        <f>IF($G998&lt;&gt;"APARTADO","",IF(NOT(ISNUMBER($C998)),"FALTA LA HORA",IF($C998&lt;1,"FALTA LA FECHA",TEXT($C998+1,"dd/mm hh:mm"))))</f>
        <v/>
      </c>
    </row>
    <row r="999">
      <c r="A999" s="13" t="inlineStr">
        <is>
          <t>997</t>
        </is>
      </c>
      <c r="B999" t="inlineStr">
        <is>
          <t>LIBRE</t>
        </is>
      </c>
      <c r="C999" s="14" t="n"/>
      <c r="E999" s="15">
        <f>IF($G999&lt;&gt;"PAGADO","",IFERROR(IF(VLOOKUP($A999,COMPRADORES!$A:$D,4,FALSE)="NO","Reservado",LEFT(VLOOKUP($A999,COMPRADORES!$A:$D,2,FALSE),3)&amp;"***"&amp;IF(TRIM(MID(VLOOKUP($A999,COMPRADORES!$A:$D,2,FALSE)&amp;" ",FIND(" ",VLOOKUP($A999,COMPRADORES!$A:$D,2,FALSE)&amp;" ")+1,99))="",""," "&amp;LEFT(TRIM(MID(VLOOKUP($A999,COMPRADORES!$A:$D,2,FALSE)&amp;" ",FIND(" ",VLOOKUP($A999,COMPRADORES!$A:$D,2,FALSE)&amp;" ")+1,99)),1)&amp;".")),""))</f>
        <v/>
      </c>
      <c r="F999" s="16">
        <f>IF($B999="PAGADO",MID("ABCDEFGHIJ",INT(VALUE($A999)/100)+1,1)&amp;"-"&amp;$A999,"")</f>
        <v/>
      </c>
      <c r="G999" s="16">
        <f>IF($B999="PAGADO","PAGADO",IF($B999="APARTADO",IF(NOT(ISNUMBER($C999)),"APARTADO",IF($C999&lt;1,"APARTADO",IF(NOW()-$C999&gt;1,"LIBRE","APARTADO"))),"LIBRE"))</f>
        <v/>
      </c>
      <c r="H999" s="15">
        <f>IF($G999&lt;&gt;"APARTADO","",IF(NOT(ISNUMBER($C999)),"FALTA LA HORA",IF($C999&lt;1,"FALTA LA FECHA",TEXT($C999+1,"dd/mm hh:mm"))))</f>
        <v/>
      </c>
    </row>
    <row r="1000">
      <c r="A1000" s="13" t="inlineStr">
        <is>
          <t>998</t>
        </is>
      </c>
      <c r="B1000" t="inlineStr">
        <is>
          <t>LIBRE</t>
        </is>
      </c>
      <c r="C1000" s="14" t="n"/>
      <c r="E1000" s="15">
        <f>IF($G1000&lt;&gt;"PAGADO","",IFERROR(IF(VLOOKUP($A1000,COMPRADORES!$A:$D,4,FALSE)="NO","Reservado",LEFT(VLOOKUP($A1000,COMPRADORES!$A:$D,2,FALSE),3)&amp;"***"&amp;IF(TRIM(MID(VLOOKUP($A1000,COMPRADORES!$A:$D,2,FALSE)&amp;" ",FIND(" ",VLOOKUP($A1000,COMPRADORES!$A:$D,2,FALSE)&amp;" ")+1,99))="",""," "&amp;LEFT(TRIM(MID(VLOOKUP($A1000,COMPRADORES!$A:$D,2,FALSE)&amp;" ",FIND(" ",VLOOKUP($A1000,COMPRADORES!$A:$D,2,FALSE)&amp;" ")+1,99)),1)&amp;".")),""))</f>
        <v/>
      </c>
      <c r="F1000" s="16">
        <f>IF($B1000="PAGADO",MID("ABCDEFGHIJ",INT(VALUE($A1000)/100)+1,1)&amp;"-"&amp;$A1000,"")</f>
        <v/>
      </c>
      <c r="G1000" s="16">
        <f>IF($B1000="PAGADO","PAGADO",IF($B1000="APARTADO",IF(NOT(ISNUMBER($C1000)),"APARTADO",IF($C1000&lt;1,"APARTADO",IF(NOW()-$C1000&gt;1,"LIBRE","APARTADO"))),"LIBRE"))</f>
        <v/>
      </c>
      <c r="H1000" s="15">
        <f>IF($G1000&lt;&gt;"APARTADO","",IF(NOT(ISNUMBER($C1000)),"FALTA LA HORA",IF($C1000&lt;1,"FALTA LA FECHA",TEXT($C1000+1,"dd/mm hh:mm"))))</f>
        <v/>
      </c>
    </row>
    <row r="1001">
      <c r="A1001" s="13" t="inlineStr">
        <is>
          <t>999</t>
        </is>
      </c>
      <c r="B1001" t="inlineStr">
        <is>
          <t>LIBRE</t>
        </is>
      </c>
      <c r="C1001" s="14" t="n"/>
      <c r="E1001" s="15">
        <f>IF($G1001&lt;&gt;"PAGADO","",IFERROR(IF(VLOOKUP($A1001,COMPRADORES!$A:$D,4,FALSE)="NO","Reservado",LEFT(VLOOKUP($A1001,COMPRADORES!$A:$D,2,FALSE),3)&amp;"***"&amp;IF(TRIM(MID(VLOOKUP($A1001,COMPRADORES!$A:$D,2,FALSE)&amp;" ",FIND(" ",VLOOKUP($A1001,COMPRADORES!$A:$D,2,FALSE)&amp;" ")+1,99))="",""," "&amp;LEFT(TRIM(MID(VLOOKUP($A1001,COMPRADORES!$A:$D,2,FALSE)&amp;" ",FIND(" ",VLOOKUP($A1001,COMPRADORES!$A:$D,2,FALSE)&amp;" ")+1,99)),1)&amp;".")),""))</f>
        <v/>
      </c>
      <c r="F1001" s="16">
        <f>IF($B1001="PAGADO",MID("ABCDEFGHIJ",INT(VALUE($A1001)/100)+1,1)&amp;"-"&amp;$A1001,"")</f>
        <v/>
      </c>
      <c r="G1001" s="16">
        <f>IF($B1001="PAGADO","PAGADO",IF($B1001="APARTADO",IF(NOT(ISNUMBER($C1001)),"APARTADO",IF($C1001&lt;1,"APARTADO",IF(NOW()-$C1001&gt;1,"LIBRE","APARTADO"))),"LIBRE"))</f>
        <v/>
      </c>
      <c r="H1001" s="15">
        <f>IF($G1001&lt;&gt;"APARTADO","",IF(NOT(ISNUMBER($C1001)),"FALTA LA HORA",IF($C1001&lt;1,"FALTA LA FECHA",TEXT($C1001+1,"dd/mm hh:mm"))))</f>
        <v/>
      </c>
    </row>
    <row r="1003">
      <c r="A1003" s="11" t="inlineStr">
        <is>
          <t>NO ESCRIBAS EN LA COLUMNA E: es una fórmula. Los nombres van en la hoja COMPRADORES.</t>
        </is>
      </c>
    </row>
    <row r="1004">
      <c r="A1004" s="11" t="inlineStr">
        <is>
          <t>Si escribes un nombre en E, ese nombre completo QUEDA PUBLICADO en la web.</t>
        </is>
      </c>
    </row>
    <row r="1005">
      <c r="A1005" s="11" t="inlineStr">
        <is>
          <t>Columnas grises (E, F, G, H) = fórmulas, no se tocan. Solo escribes en B (estado), D (vendedor) y I (nota).</t>
        </is>
      </c>
    </row>
  </sheetData>
  <conditionalFormatting sqref="A2:I1001">
    <cfRule type="expression" priority="1" dxfId="0">
      <formula>$G2="PAGADO"</formula>
    </cfRule>
    <cfRule type="expression" priority="2" dxfId="1">
      <formula>AND($B2="APARTADO",$G2="LIBRE")</formula>
    </cfRule>
    <cfRule type="expression" priority="3" dxfId="2">
      <formula>$G2="APARTADO"</formula>
    </cfRule>
  </conditionalFormatting>
  <dataValidations count="2">
    <dataValidation sqref="B2:B1001" showDropDown="0" showInputMessage="0" showErrorMessage="0" allowBlank="0" errorTitle="Estado no válido" error="Solo LIBRE, APARTADO o PAGADO." type="list">
      <formula1>"LIBRE,APARTADO,PAGADO"</formula1>
    </dataValidation>
    <dataValidation sqref="D2:D1001" showDropDown="0" showInputMessage="0" showErrorMessage="0" allowBlank="1" errorTitle="Vendedor desconocido" error="Ese código no está en la hoja VENDEDORES." type="list">
      <formula1>=VENDEDORES!$A$2:$A$20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F50"/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5" customWidth="1" min="4" max="4"/>
    <col width="14" customWidth="1" min="5" max="5"/>
  </cols>
  <sheetData>
    <row r="1" ht="24" customHeight="1">
      <c r="A1" s="12" t="inlineStr">
        <is>
          <t>NUMERO</t>
        </is>
      </c>
      <c r="B1" s="12" t="inlineStr">
        <is>
          <t>NOMBRE_COMPLETO</t>
        </is>
      </c>
      <c r="C1" s="12" t="inlineStr">
        <is>
          <t>TELEFONO</t>
        </is>
      </c>
      <c r="D1" s="12" t="inlineStr">
        <is>
          <t>SALE_PUBLICO</t>
        </is>
      </c>
      <c r="E1" s="12" t="inlineStr">
        <is>
          <t>QUIERE_TBW</t>
        </is>
      </c>
    </row>
    <row r="2">
      <c r="A2" s="17" t="n"/>
      <c r="C2" s="17" t="n"/>
    </row>
    <row r="3">
      <c r="A3" s="17" t="n"/>
      <c r="C3" s="17" t="n"/>
    </row>
    <row r="4">
      <c r="A4" s="17" t="n"/>
      <c r="C4" s="17" t="n"/>
    </row>
    <row r="5">
      <c r="A5" s="17" t="n"/>
      <c r="C5" s="17" t="n"/>
    </row>
    <row r="6">
      <c r="A6" s="17" t="n"/>
      <c r="C6" s="17" t="n"/>
    </row>
    <row r="7">
      <c r="A7" s="17" t="n"/>
      <c r="C7" s="17" t="n"/>
    </row>
    <row r="8">
      <c r="A8" s="17" t="n"/>
      <c r="C8" s="17" t="n"/>
    </row>
    <row r="9">
      <c r="A9" s="17" t="n"/>
      <c r="C9" s="17" t="n"/>
    </row>
    <row r="10">
      <c r="A10" s="17" t="n"/>
      <c r="C10" s="17" t="n"/>
    </row>
    <row r="11">
      <c r="A11" s="17" t="n"/>
      <c r="C11" s="17" t="n"/>
    </row>
    <row r="12">
      <c r="A12" s="17" t="n"/>
      <c r="C12" s="17" t="n"/>
    </row>
    <row r="13">
      <c r="A13" s="17" t="n"/>
      <c r="C13" s="17" t="n"/>
    </row>
    <row r="14">
      <c r="A14" s="17" t="n"/>
      <c r="C14" s="17" t="n"/>
    </row>
    <row r="15">
      <c r="A15" s="17" t="n"/>
      <c r="C15" s="17" t="n"/>
    </row>
    <row r="16">
      <c r="A16" s="17" t="n"/>
      <c r="C16" s="17" t="n"/>
    </row>
    <row r="17">
      <c r="A17" s="17" t="n"/>
      <c r="C17" s="17" t="n"/>
    </row>
    <row r="18">
      <c r="A18" s="17" t="n"/>
      <c r="C18" s="17" t="n"/>
    </row>
    <row r="19">
      <c r="A19" s="17" t="n"/>
      <c r="C19" s="17" t="n"/>
    </row>
    <row r="20">
      <c r="A20" s="17" t="n"/>
      <c r="C20" s="17" t="n"/>
    </row>
    <row r="21">
      <c r="A21" s="17" t="n"/>
      <c r="C21" s="17" t="n"/>
    </row>
    <row r="22">
      <c r="A22" s="17" t="n"/>
      <c r="C22" s="17" t="n"/>
    </row>
    <row r="23">
      <c r="A23" s="17" t="n"/>
      <c r="C23" s="17" t="n"/>
    </row>
    <row r="24">
      <c r="A24" s="17" t="n"/>
      <c r="C24" s="17" t="n"/>
    </row>
    <row r="25">
      <c r="A25" s="17" t="n"/>
      <c r="C25" s="17" t="n"/>
    </row>
    <row r="26">
      <c r="A26" s="17" t="n"/>
      <c r="C26" s="17" t="n"/>
    </row>
    <row r="27">
      <c r="A27" s="17" t="n"/>
      <c r="C27" s="17" t="n"/>
    </row>
    <row r="28">
      <c r="A28" s="17" t="n"/>
      <c r="C28" s="17" t="n"/>
    </row>
    <row r="29">
      <c r="A29" s="17" t="n"/>
      <c r="C29" s="17" t="n"/>
    </row>
    <row r="30">
      <c r="A30" s="17" t="n"/>
      <c r="C30" s="17" t="n"/>
    </row>
    <row r="31">
      <c r="A31" s="17" t="n"/>
      <c r="C31" s="17" t="n"/>
    </row>
    <row r="32">
      <c r="A32" s="17" t="n"/>
      <c r="C32" s="17" t="n"/>
    </row>
    <row r="33">
      <c r="A33" s="17" t="n"/>
      <c r="C33" s="17" t="n"/>
    </row>
    <row r="34">
      <c r="A34" s="17" t="n"/>
      <c r="C34" s="17" t="n"/>
    </row>
    <row r="35">
      <c r="A35" s="17" t="n"/>
      <c r="C35" s="17" t="n"/>
    </row>
    <row r="36">
      <c r="A36" s="17" t="n"/>
      <c r="C36" s="17" t="n"/>
    </row>
    <row r="37">
      <c r="A37" s="17" t="n"/>
      <c r="C37" s="17" t="n"/>
    </row>
    <row r="38">
      <c r="A38" s="17" t="n"/>
      <c r="C38" s="17" t="n"/>
    </row>
    <row r="39">
      <c r="A39" s="17" t="n"/>
      <c r="C39" s="17" t="n"/>
    </row>
    <row r="40">
      <c r="A40" s="17" t="n"/>
      <c r="C40" s="17" t="n"/>
    </row>
    <row r="41">
      <c r="A41" s="17" t="n"/>
      <c r="C41" s="17" t="n"/>
    </row>
    <row r="42">
      <c r="A42" s="17" t="n"/>
      <c r="C42" s="17" t="n"/>
    </row>
    <row r="43">
      <c r="A43" s="17" t="n"/>
      <c r="C43" s="17" t="n"/>
    </row>
    <row r="44">
      <c r="A44" s="17" t="n"/>
      <c r="C44" s="17" t="n"/>
    </row>
    <row r="45">
      <c r="A45" s="17" t="n"/>
      <c r="C45" s="17" t="n"/>
    </row>
    <row r="46">
      <c r="A46" s="17" t="n"/>
      <c r="C46" s="17" t="n"/>
    </row>
    <row r="47">
      <c r="A47" s="17" t="n"/>
      <c r="C47" s="17" t="n"/>
    </row>
    <row r="48">
      <c r="A48" s="17" t="n"/>
      <c r="C48" s="17" t="n"/>
    </row>
    <row r="49">
      <c r="A49" s="17" t="n"/>
      <c r="C49" s="17" t="n"/>
    </row>
    <row r="50">
      <c r="A50" s="17" t="n"/>
      <c r="C50" s="17" t="n"/>
    </row>
    <row r="51">
      <c r="A51" s="17" t="n"/>
      <c r="C51" s="17" t="n"/>
    </row>
    <row r="52">
      <c r="A52" s="17" t="n"/>
      <c r="C52" s="17" t="n"/>
    </row>
    <row r="53">
      <c r="A53" s="17" t="n"/>
      <c r="C53" s="17" t="n"/>
    </row>
    <row r="54">
      <c r="A54" s="17" t="n"/>
      <c r="C54" s="17" t="n"/>
    </row>
    <row r="55">
      <c r="A55" s="17" t="n"/>
      <c r="C55" s="17" t="n"/>
    </row>
    <row r="56">
      <c r="A56" s="17" t="n"/>
      <c r="C56" s="17" t="n"/>
    </row>
    <row r="57">
      <c r="A57" s="17" t="n"/>
      <c r="C57" s="17" t="n"/>
    </row>
    <row r="58">
      <c r="A58" s="17" t="n"/>
      <c r="C58" s="17" t="n"/>
    </row>
    <row r="59">
      <c r="A59" s="17" t="n"/>
      <c r="C59" s="17" t="n"/>
    </row>
    <row r="60">
      <c r="A60" s="17" t="n"/>
      <c r="C60" s="17" t="n"/>
    </row>
    <row r="61">
      <c r="A61" s="17" t="n"/>
      <c r="C61" s="17" t="n"/>
    </row>
    <row r="62">
      <c r="A62" s="17" t="n"/>
      <c r="C62" s="17" t="n"/>
    </row>
    <row r="63">
      <c r="A63" s="17" t="n"/>
      <c r="C63" s="17" t="n"/>
    </row>
    <row r="64">
      <c r="A64" s="17" t="n"/>
      <c r="C64" s="17" t="n"/>
    </row>
    <row r="65">
      <c r="A65" s="17" t="n"/>
      <c r="C65" s="17" t="n"/>
    </row>
    <row r="66">
      <c r="A66" s="17" t="n"/>
      <c r="C66" s="17" t="n"/>
    </row>
    <row r="67">
      <c r="A67" s="17" t="n"/>
      <c r="C67" s="17" t="n"/>
    </row>
    <row r="68">
      <c r="A68" s="17" t="n"/>
      <c r="C68" s="17" t="n"/>
    </row>
    <row r="69">
      <c r="A69" s="17" t="n"/>
      <c r="C69" s="17" t="n"/>
    </row>
    <row r="70">
      <c r="A70" s="17" t="n"/>
      <c r="C70" s="17" t="n"/>
    </row>
    <row r="71">
      <c r="A71" s="17" t="n"/>
      <c r="C71" s="17" t="n"/>
    </row>
    <row r="72">
      <c r="A72" s="17" t="n"/>
      <c r="C72" s="17" t="n"/>
    </row>
    <row r="73">
      <c r="A73" s="17" t="n"/>
      <c r="C73" s="17" t="n"/>
    </row>
    <row r="74">
      <c r="A74" s="17" t="n"/>
      <c r="C74" s="17" t="n"/>
    </row>
    <row r="75">
      <c r="A75" s="17" t="n"/>
      <c r="C75" s="17" t="n"/>
    </row>
    <row r="76">
      <c r="A76" s="17" t="n"/>
      <c r="C76" s="17" t="n"/>
    </row>
    <row r="77">
      <c r="A77" s="17" t="n"/>
      <c r="C77" s="17" t="n"/>
    </row>
    <row r="78">
      <c r="A78" s="17" t="n"/>
      <c r="C78" s="17" t="n"/>
    </row>
    <row r="79">
      <c r="A79" s="17" t="n"/>
      <c r="C79" s="17" t="n"/>
    </row>
    <row r="80">
      <c r="A80" s="17" t="n"/>
      <c r="C80" s="17" t="n"/>
    </row>
    <row r="81">
      <c r="A81" s="17" t="n"/>
      <c r="C81" s="17" t="n"/>
    </row>
    <row r="82">
      <c r="A82" s="17" t="n"/>
      <c r="C82" s="17" t="n"/>
    </row>
    <row r="83">
      <c r="A83" s="17" t="n"/>
      <c r="C83" s="17" t="n"/>
    </row>
    <row r="84">
      <c r="A84" s="17" t="n"/>
      <c r="C84" s="17" t="n"/>
    </row>
    <row r="85">
      <c r="A85" s="17" t="n"/>
      <c r="C85" s="17" t="n"/>
    </row>
    <row r="86">
      <c r="A86" s="17" t="n"/>
      <c r="C86" s="17" t="n"/>
    </row>
    <row r="87">
      <c r="A87" s="17" t="n"/>
      <c r="C87" s="17" t="n"/>
    </row>
    <row r="88">
      <c r="A88" s="17" t="n"/>
      <c r="C88" s="17" t="n"/>
    </row>
    <row r="89">
      <c r="A89" s="17" t="n"/>
      <c r="C89" s="17" t="n"/>
    </row>
    <row r="90">
      <c r="A90" s="17" t="n"/>
      <c r="C90" s="17" t="n"/>
    </row>
    <row r="91">
      <c r="A91" s="17" t="n"/>
      <c r="C91" s="17" t="n"/>
    </row>
    <row r="92">
      <c r="A92" s="17" t="n"/>
      <c r="C92" s="17" t="n"/>
    </row>
    <row r="93">
      <c r="A93" s="17" t="n"/>
      <c r="C93" s="17" t="n"/>
    </row>
    <row r="94">
      <c r="A94" s="17" t="n"/>
      <c r="C94" s="17" t="n"/>
    </row>
    <row r="95">
      <c r="A95" s="17" t="n"/>
      <c r="C95" s="17" t="n"/>
    </row>
    <row r="96">
      <c r="A96" s="17" t="n"/>
      <c r="C96" s="17" t="n"/>
    </row>
    <row r="97">
      <c r="A97" s="17" t="n"/>
      <c r="C97" s="17" t="n"/>
    </row>
    <row r="98">
      <c r="A98" s="17" t="n"/>
      <c r="C98" s="17" t="n"/>
    </row>
    <row r="99">
      <c r="A99" s="17" t="n"/>
      <c r="C99" s="17" t="n"/>
    </row>
    <row r="100">
      <c r="A100" s="17" t="n"/>
      <c r="C100" s="17" t="n"/>
    </row>
    <row r="101">
      <c r="A101" s="17" t="n"/>
      <c r="C101" s="17" t="n"/>
    </row>
    <row r="102">
      <c r="A102" s="17" t="n"/>
      <c r="C102" s="17" t="n"/>
    </row>
    <row r="103">
      <c r="A103" s="17" t="n"/>
      <c r="C103" s="17" t="n"/>
    </row>
    <row r="104">
      <c r="A104" s="17" t="n"/>
      <c r="C104" s="17" t="n"/>
    </row>
    <row r="105">
      <c r="A105" s="17" t="n"/>
      <c r="C105" s="17" t="n"/>
    </row>
    <row r="106">
      <c r="A106" s="17" t="n"/>
      <c r="C106" s="17" t="n"/>
    </row>
    <row r="107">
      <c r="A107" s="17" t="n"/>
      <c r="C107" s="17" t="n"/>
    </row>
    <row r="108">
      <c r="A108" s="17" t="n"/>
      <c r="C108" s="17" t="n"/>
    </row>
    <row r="109">
      <c r="A109" s="17" t="n"/>
      <c r="C109" s="17" t="n"/>
    </row>
    <row r="110">
      <c r="A110" s="17" t="n"/>
      <c r="C110" s="17" t="n"/>
    </row>
    <row r="111">
      <c r="A111" s="17" t="n"/>
      <c r="C111" s="17" t="n"/>
    </row>
    <row r="112">
      <c r="A112" s="17" t="n"/>
      <c r="C112" s="17" t="n"/>
    </row>
    <row r="113">
      <c r="A113" s="17" t="n"/>
      <c r="C113" s="17" t="n"/>
    </row>
    <row r="114">
      <c r="A114" s="17" t="n"/>
      <c r="C114" s="17" t="n"/>
    </row>
    <row r="115">
      <c r="A115" s="17" t="n"/>
      <c r="C115" s="17" t="n"/>
    </row>
    <row r="116">
      <c r="A116" s="17" t="n"/>
      <c r="C116" s="17" t="n"/>
    </row>
    <row r="117">
      <c r="A117" s="17" t="n"/>
      <c r="C117" s="17" t="n"/>
    </row>
    <row r="118">
      <c r="A118" s="17" t="n"/>
      <c r="C118" s="17" t="n"/>
    </row>
    <row r="119">
      <c r="A119" s="17" t="n"/>
      <c r="C119" s="17" t="n"/>
    </row>
    <row r="120">
      <c r="A120" s="17" t="n"/>
      <c r="C120" s="17" t="n"/>
    </row>
    <row r="121">
      <c r="A121" s="17" t="n"/>
      <c r="C121" s="17" t="n"/>
    </row>
    <row r="122">
      <c r="A122" s="17" t="n"/>
      <c r="C122" s="17" t="n"/>
    </row>
    <row r="123">
      <c r="A123" s="17" t="n"/>
      <c r="C123" s="17" t="n"/>
    </row>
    <row r="124">
      <c r="A124" s="17" t="n"/>
      <c r="C124" s="17" t="n"/>
    </row>
    <row r="125">
      <c r="A125" s="17" t="n"/>
      <c r="C125" s="17" t="n"/>
    </row>
    <row r="126">
      <c r="A126" s="17" t="n"/>
      <c r="C126" s="17" t="n"/>
    </row>
    <row r="127">
      <c r="A127" s="17" t="n"/>
      <c r="C127" s="17" t="n"/>
    </row>
    <row r="128">
      <c r="A128" s="17" t="n"/>
      <c r="C128" s="17" t="n"/>
    </row>
    <row r="129">
      <c r="A129" s="17" t="n"/>
      <c r="C129" s="17" t="n"/>
    </row>
    <row r="130">
      <c r="A130" s="17" t="n"/>
      <c r="C130" s="17" t="n"/>
    </row>
    <row r="131">
      <c r="A131" s="17" t="n"/>
      <c r="C131" s="17" t="n"/>
    </row>
    <row r="132">
      <c r="A132" s="17" t="n"/>
      <c r="C132" s="17" t="n"/>
    </row>
    <row r="133">
      <c r="A133" s="17" t="n"/>
      <c r="C133" s="17" t="n"/>
    </row>
    <row r="134">
      <c r="A134" s="17" t="n"/>
      <c r="C134" s="17" t="n"/>
    </row>
    <row r="135">
      <c r="A135" s="17" t="n"/>
      <c r="C135" s="17" t="n"/>
    </row>
    <row r="136">
      <c r="A136" s="17" t="n"/>
      <c r="C136" s="17" t="n"/>
    </row>
    <row r="137">
      <c r="A137" s="17" t="n"/>
      <c r="C137" s="17" t="n"/>
    </row>
    <row r="138">
      <c r="A138" s="17" t="n"/>
      <c r="C138" s="17" t="n"/>
    </row>
    <row r="139">
      <c r="A139" s="17" t="n"/>
      <c r="C139" s="17" t="n"/>
    </row>
    <row r="140">
      <c r="A140" s="17" t="n"/>
      <c r="C140" s="17" t="n"/>
    </row>
    <row r="141">
      <c r="A141" s="17" t="n"/>
      <c r="C141" s="17" t="n"/>
    </row>
    <row r="142">
      <c r="A142" s="17" t="n"/>
      <c r="C142" s="17" t="n"/>
    </row>
    <row r="143">
      <c r="A143" s="17" t="n"/>
      <c r="C143" s="17" t="n"/>
    </row>
    <row r="144">
      <c r="A144" s="17" t="n"/>
      <c r="C144" s="17" t="n"/>
    </row>
    <row r="145">
      <c r="A145" s="17" t="n"/>
      <c r="C145" s="17" t="n"/>
    </row>
    <row r="146">
      <c r="A146" s="17" t="n"/>
      <c r="C146" s="17" t="n"/>
    </row>
    <row r="147">
      <c r="A147" s="17" t="n"/>
      <c r="C147" s="17" t="n"/>
    </row>
    <row r="148">
      <c r="A148" s="17" t="n"/>
      <c r="C148" s="17" t="n"/>
    </row>
    <row r="149">
      <c r="A149" s="17" t="n"/>
      <c r="C149" s="17" t="n"/>
    </row>
    <row r="150">
      <c r="A150" s="17" t="n"/>
      <c r="C150" s="17" t="n"/>
    </row>
    <row r="151">
      <c r="A151" s="17" t="n"/>
      <c r="C151" s="17" t="n"/>
    </row>
    <row r="152">
      <c r="A152" s="17" t="n"/>
      <c r="C152" s="17" t="n"/>
    </row>
    <row r="153">
      <c r="A153" s="17" t="n"/>
      <c r="C153" s="17" t="n"/>
    </row>
    <row r="154">
      <c r="A154" s="17" t="n"/>
      <c r="C154" s="17" t="n"/>
    </row>
    <row r="155">
      <c r="A155" s="17" t="n"/>
      <c r="C155" s="17" t="n"/>
    </row>
    <row r="156">
      <c r="A156" s="17" t="n"/>
      <c r="C156" s="17" t="n"/>
    </row>
    <row r="157">
      <c r="A157" s="17" t="n"/>
      <c r="C157" s="17" t="n"/>
    </row>
    <row r="158">
      <c r="A158" s="17" t="n"/>
      <c r="C158" s="17" t="n"/>
    </row>
    <row r="159">
      <c r="A159" s="17" t="n"/>
      <c r="C159" s="17" t="n"/>
    </row>
    <row r="160">
      <c r="A160" s="17" t="n"/>
      <c r="C160" s="17" t="n"/>
    </row>
    <row r="161">
      <c r="A161" s="17" t="n"/>
      <c r="C161" s="17" t="n"/>
    </row>
    <row r="162">
      <c r="A162" s="17" t="n"/>
      <c r="C162" s="17" t="n"/>
    </row>
    <row r="163">
      <c r="A163" s="17" t="n"/>
      <c r="C163" s="17" t="n"/>
    </row>
    <row r="164">
      <c r="A164" s="17" t="n"/>
      <c r="C164" s="17" t="n"/>
    </row>
    <row r="165">
      <c r="A165" s="17" t="n"/>
      <c r="C165" s="17" t="n"/>
    </row>
    <row r="166">
      <c r="A166" s="17" t="n"/>
      <c r="C166" s="17" t="n"/>
    </row>
    <row r="167">
      <c r="A167" s="17" t="n"/>
      <c r="C167" s="17" t="n"/>
    </row>
    <row r="168">
      <c r="A168" s="17" t="n"/>
      <c r="C168" s="17" t="n"/>
    </row>
    <row r="169">
      <c r="A169" s="17" t="n"/>
      <c r="C169" s="17" t="n"/>
    </row>
    <row r="170">
      <c r="A170" s="17" t="n"/>
      <c r="C170" s="17" t="n"/>
    </row>
    <row r="171">
      <c r="A171" s="17" t="n"/>
      <c r="C171" s="17" t="n"/>
    </row>
    <row r="172">
      <c r="A172" s="17" t="n"/>
      <c r="C172" s="17" t="n"/>
    </row>
    <row r="173">
      <c r="A173" s="17" t="n"/>
      <c r="C173" s="17" t="n"/>
    </row>
    <row r="174">
      <c r="A174" s="17" t="n"/>
      <c r="C174" s="17" t="n"/>
    </row>
    <row r="175">
      <c r="A175" s="17" t="n"/>
      <c r="C175" s="17" t="n"/>
    </row>
    <row r="176">
      <c r="A176" s="17" t="n"/>
      <c r="C176" s="17" t="n"/>
    </row>
    <row r="177">
      <c r="A177" s="17" t="n"/>
      <c r="C177" s="17" t="n"/>
    </row>
    <row r="178">
      <c r="A178" s="17" t="n"/>
      <c r="C178" s="17" t="n"/>
    </row>
    <row r="179">
      <c r="A179" s="17" t="n"/>
      <c r="C179" s="17" t="n"/>
    </row>
    <row r="180">
      <c r="A180" s="17" t="n"/>
      <c r="C180" s="17" t="n"/>
    </row>
    <row r="181">
      <c r="A181" s="17" t="n"/>
      <c r="C181" s="17" t="n"/>
    </row>
    <row r="182">
      <c r="A182" s="17" t="n"/>
      <c r="C182" s="17" t="n"/>
    </row>
    <row r="183">
      <c r="A183" s="17" t="n"/>
      <c r="C183" s="17" t="n"/>
    </row>
    <row r="184">
      <c r="A184" s="17" t="n"/>
      <c r="C184" s="17" t="n"/>
    </row>
    <row r="185">
      <c r="A185" s="17" t="n"/>
      <c r="C185" s="17" t="n"/>
    </row>
    <row r="186">
      <c r="A186" s="17" t="n"/>
      <c r="C186" s="17" t="n"/>
    </row>
    <row r="187">
      <c r="A187" s="17" t="n"/>
      <c r="C187" s="17" t="n"/>
    </row>
    <row r="188">
      <c r="A188" s="17" t="n"/>
      <c r="C188" s="17" t="n"/>
    </row>
    <row r="189">
      <c r="A189" s="17" t="n"/>
      <c r="C189" s="17" t="n"/>
    </row>
    <row r="190">
      <c r="A190" s="17" t="n"/>
      <c r="C190" s="17" t="n"/>
    </row>
    <row r="191">
      <c r="A191" s="17" t="n"/>
      <c r="C191" s="17" t="n"/>
    </row>
    <row r="192">
      <c r="A192" s="17" t="n"/>
      <c r="C192" s="17" t="n"/>
    </row>
    <row r="193">
      <c r="A193" s="17" t="n"/>
      <c r="C193" s="17" t="n"/>
    </row>
    <row r="194">
      <c r="A194" s="17" t="n"/>
      <c r="C194" s="17" t="n"/>
    </row>
    <row r="195">
      <c r="A195" s="17" t="n"/>
      <c r="C195" s="17" t="n"/>
    </row>
    <row r="196">
      <c r="A196" s="17" t="n"/>
      <c r="C196" s="17" t="n"/>
    </row>
    <row r="197">
      <c r="A197" s="17" t="n"/>
      <c r="C197" s="17" t="n"/>
    </row>
    <row r="198">
      <c r="A198" s="17" t="n"/>
      <c r="C198" s="17" t="n"/>
    </row>
    <row r="199">
      <c r="A199" s="17" t="n"/>
      <c r="C199" s="17" t="n"/>
    </row>
    <row r="200">
      <c r="A200" s="17" t="n"/>
      <c r="C200" s="17" t="n"/>
    </row>
    <row r="201">
      <c r="A201" s="17" t="n"/>
      <c r="C201" s="17" t="n"/>
    </row>
    <row r="202">
      <c r="A202" s="17" t="n"/>
      <c r="C202" s="17" t="n"/>
    </row>
    <row r="203">
      <c r="A203" s="17" t="n"/>
      <c r="C203" s="17" t="n"/>
    </row>
    <row r="204">
      <c r="A204" s="17" t="n"/>
      <c r="C204" s="17" t="n"/>
    </row>
    <row r="205">
      <c r="A205" s="17" t="n"/>
      <c r="C205" s="17" t="n"/>
    </row>
    <row r="206">
      <c r="A206" s="17" t="n"/>
      <c r="C206" s="17" t="n"/>
    </row>
    <row r="207">
      <c r="A207" s="17" t="n"/>
      <c r="C207" s="17" t="n"/>
    </row>
    <row r="208">
      <c r="A208" s="17" t="n"/>
      <c r="C208" s="17" t="n"/>
    </row>
    <row r="209">
      <c r="A209" s="17" t="n"/>
      <c r="C209" s="17" t="n"/>
    </row>
    <row r="210">
      <c r="A210" s="17" t="n"/>
      <c r="C210" s="17" t="n"/>
    </row>
    <row r="211">
      <c r="A211" s="17" t="n"/>
      <c r="C211" s="17" t="n"/>
    </row>
    <row r="212">
      <c r="A212" s="17" t="n"/>
      <c r="C212" s="17" t="n"/>
    </row>
    <row r="213">
      <c r="A213" s="17" t="n"/>
      <c r="C213" s="17" t="n"/>
    </row>
    <row r="214">
      <c r="A214" s="17" t="n"/>
      <c r="C214" s="17" t="n"/>
    </row>
    <row r="215">
      <c r="A215" s="17" t="n"/>
      <c r="C215" s="17" t="n"/>
    </row>
    <row r="216">
      <c r="A216" s="17" t="n"/>
      <c r="C216" s="17" t="n"/>
    </row>
    <row r="217">
      <c r="A217" s="17" t="n"/>
      <c r="C217" s="17" t="n"/>
    </row>
    <row r="218">
      <c r="A218" s="17" t="n"/>
      <c r="C218" s="17" t="n"/>
    </row>
    <row r="219">
      <c r="A219" s="17" t="n"/>
      <c r="C219" s="17" t="n"/>
    </row>
    <row r="220">
      <c r="A220" s="17" t="n"/>
      <c r="C220" s="17" t="n"/>
    </row>
    <row r="221">
      <c r="A221" s="17" t="n"/>
      <c r="C221" s="17" t="n"/>
    </row>
    <row r="222">
      <c r="A222" s="17" t="n"/>
      <c r="C222" s="17" t="n"/>
    </row>
    <row r="223">
      <c r="A223" s="17" t="n"/>
      <c r="C223" s="17" t="n"/>
    </row>
    <row r="224">
      <c r="A224" s="17" t="n"/>
      <c r="C224" s="17" t="n"/>
    </row>
    <row r="225">
      <c r="A225" s="17" t="n"/>
      <c r="C225" s="17" t="n"/>
    </row>
    <row r="226">
      <c r="A226" s="17" t="n"/>
      <c r="C226" s="17" t="n"/>
    </row>
    <row r="227">
      <c r="A227" s="17" t="n"/>
      <c r="C227" s="17" t="n"/>
    </row>
    <row r="228">
      <c r="A228" s="17" t="n"/>
      <c r="C228" s="17" t="n"/>
    </row>
    <row r="229">
      <c r="A229" s="17" t="n"/>
      <c r="C229" s="17" t="n"/>
    </row>
    <row r="230">
      <c r="A230" s="17" t="n"/>
      <c r="C230" s="17" t="n"/>
    </row>
    <row r="231">
      <c r="A231" s="17" t="n"/>
      <c r="C231" s="17" t="n"/>
    </row>
    <row r="232">
      <c r="A232" s="17" t="n"/>
      <c r="C232" s="17" t="n"/>
    </row>
    <row r="233">
      <c r="A233" s="17" t="n"/>
      <c r="C233" s="17" t="n"/>
    </row>
    <row r="234">
      <c r="A234" s="17" t="n"/>
      <c r="C234" s="17" t="n"/>
    </row>
    <row r="235">
      <c r="A235" s="17" t="n"/>
      <c r="C235" s="17" t="n"/>
    </row>
    <row r="236">
      <c r="A236" s="17" t="n"/>
      <c r="C236" s="17" t="n"/>
    </row>
    <row r="237">
      <c r="A237" s="17" t="n"/>
      <c r="C237" s="17" t="n"/>
    </row>
    <row r="238">
      <c r="A238" s="17" t="n"/>
      <c r="C238" s="17" t="n"/>
    </row>
    <row r="239">
      <c r="A239" s="17" t="n"/>
      <c r="C239" s="17" t="n"/>
    </row>
    <row r="240">
      <c r="A240" s="17" t="n"/>
      <c r="C240" s="17" t="n"/>
    </row>
    <row r="241">
      <c r="A241" s="17" t="n"/>
      <c r="C241" s="17" t="n"/>
    </row>
    <row r="242">
      <c r="A242" s="17" t="n"/>
      <c r="C242" s="17" t="n"/>
    </row>
    <row r="243">
      <c r="A243" s="17" t="n"/>
      <c r="C243" s="17" t="n"/>
    </row>
    <row r="244">
      <c r="A244" s="17" t="n"/>
      <c r="C244" s="17" t="n"/>
    </row>
    <row r="245">
      <c r="A245" s="17" t="n"/>
      <c r="C245" s="17" t="n"/>
    </row>
    <row r="246">
      <c r="A246" s="17" t="n"/>
      <c r="C246" s="17" t="n"/>
    </row>
    <row r="247">
      <c r="A247" s="17" t="n"/>
      <c r="C247" s="17" t="n"/>
    </row>
    <row r="248">
      <c r="A248" s="17" t="n"/>
      <c r="C248" s="17" t="n"/>
    </row>
    <row r="249">
      <c r="A249" s="17" t="n"/>
      <c r="C249" s="17" t="n"/>
    </row>
    <row r="250">
      <c r="A250" s="17" t="n"/>
      <c r="C250" s="17" t="n"/>
    </row>
    <row r="251">
      <c r="A251" s="17" t="n"/>
      <c r="C251" s="17" t="n"/>
    </row>
    <row r="252">
      <c r="A252" s="17" t="n"/>
      <c r="C252" s="17" t="n"/>
    </row>
    <row r="253">
      <c r="A253" s="17" t="n"/>
      <c r="C253" s="17" t="n"/>
    </row>
    <row r="254">
      <c r="A254" s="17" t="n"/>
      <c r="C254" s="17" t="n"/>
    </row>
    <row r="255">
      <c r="A255" s="17" t="n"/>
      <c r="C255" s="17" t="n"/>
    </row>
    <row r="256">
      <c r="A256" s="17" t="n"/>
      <c r="C256" s="17" t="n"/>
    </row>
    <row r="257">
      <c r="A257" s="17" t="n"/>
      <c r="C257" s="17" t="n"/>
    </row>
    <row r="258">
      <c r="A258" s="17" t="n"/>
      <c r="C258" s="17" t="n"/>
    </row>
    <row r="259">
      <c r="A259" s="17" t="n"/>
      <c r="C259" s="17" t="n"/>
    </row>
    <row r="260">
      <c r="A260" s="17" t="n"/>
      <c r="C260" s="17" t="n"/>
    </row>
    <row r="261">
      <c r="A261" s="17" t="n"/>
      <c r="C261" s="17" t="n"/>
    </row>
    <row r="262">
      <c r="A262" s="17" t="n"/>
      <c r="C262" s="17" t="n"/>
    </row>
    <row r="263">
      <c r="A263" s="17" t="n"/>
      <c r="C263" s="17" t="n"/>
    </row>
    <row r="264">
      <c r="A264" s="17" t="n"/>
      <c r="C264" s="17" t="n"/>
    </row>
    <row r="265">
      <c r="A265" s="17" t="n"/>
      <c r="C265" s="17" t="n"/>
    </row>
    <row r="266">
      <c r="A266" s="17" t="n"/>
      <c r="C266" s="17" t="n"/>
    </row>
    <row r="267">
      <c r="A267" s="17" t="n"/>
      <c r="C267" s="17" t="n"/>
    </row>
    <row r="268">
      <c r="A268" s="17" t="n"/>
      <c r="C268" s="17" t="n"/>
    </row>
    <row r="269">
      <c r="A269" s="17" t="n"/>
      <c r="C269" s="17" t="n"/>
    </row>
    <row r="270">
      <c r="A270" s="17" t="n"/>
      <c r="C270" s="17" t="n"/>
    </row>
    <row r="271">
      <c r="A271" s="17" t="n"/>
      <c r="C271" s="17" t="n"/>
    </row>
    <row r="272">
      <c r="A272" s="17" t="n"/>
      <c r="C272" s="17" t="n"/>
    </row>
    <row r="273">
      <c r="A273" s="17" t="n"/>
      <c r="C273" s="17" t="n"/>
    </row>
    <row r="274">
      <c r="A274" s="17" t="n"/>
      <c r="C274" s="17" t="n"/>
    </row>
    <row r="275">
      <c r="A275" s="17" t="n"/>
      <c r="C275" s="17" t="n"/>
    </row>
    <row r="276">
      <c r="A276" s="17" t="n"/>
      <c r="C276" s="17" t="n"/>
    </row>
    <row r="277">
      <c r="A277" s="17" t="n"/>
      <c r="C277" s="17" t="n"/>
    </row>
    <row r="278">
      <c r="A278" s="17" t="n"/>
      <c r="C278" s="17" t="n"/>
    </row>
    <row r="279">
      <c r="A279" s="17" t="n"/>
      <c r="C279" s="17" t="n"/>
    </row>
    <row r="280">
      <c r="A280" s="17" t="n"/>
      <c r="C280" s="17" t="n"/>
    </row>
    <row r="281">
      <c r="A281" s="17" t="n"/>
      <c r="C281" s="17" t="n"/>
    </row>
    <row r="282">
      <c r="A282" s="17" t="n"/>
      <c r="C282" s="17" t="n"/>
    </row>
    <row r="283">
      <c r="A283" s="17" t="n"/>
      <c r="C283" s="17" t="n"/>
    </row>
    <row r="284">
      <c r="A284" s="17" t="n"/>
      <c r="C284" s="17" t="n"/>
    </row>
    <row r="285">
      <c r="A285" s="17" t="n"/>
      <c r="C285" s="17" t="n"/>
    </row>
    <row r="286">
      <c r="A286" s="17" t="n"/>
      <c r="C286" s="17" t="n"/>
    </row>
    <row r="287">
      <c r="A287" s="17" t="n"/>
      <c r="C287" s="17" t="n"/>
    </row>
    <row r="288">
      <c r="A288" s="17" t="n"/>
      <c r="C288" s="17" t="n"/>
    </row>
    <row r="289">
      <c r="A289" s="17" t="n"/>
      <c r="C289" s="17" t="n"/>
    </row>
    <row r="290">
      <c r="A290" s="17" t="n"/>
      <c r="C290" s="17" t="n"/>
    </row>
    <row r="291">
      <c r="A291" s="17" t="n"/>
      <c r="C291" s="17" t="n"/>
    </row>
    <row r="292">
      <c r="A292" s="17" t="n"/>
      <c r="C292" s="17" t="n"/>
    </row>
    <row r="293">
      <c r="A293" s="17" t="n"/>
      <c r="C293" s="17" t="n"/>
    </row>
    <row r="294">
      <c r="A294" s="17" t="n"/>
      <c r="C294" s="17" t="n"/>
    </row>
    <row r="295">
      <c r="A295" s="17" t="n"/>
      <c r="C295" s="17" t="n"/>
    </row>
    <row r="296">
      <c r="A296" s="17" t="n"/>
      <c r="C296" s="17" t="n"/>
    </row>
    <row r="297">
      <c r="A297" s="17" t="n"/>
      <c r="C297" s="17" t="n"/>
    </row>
    <row r="298">
      <c r="A298" s="17" t="n"/>
      <c r="C298" s="17" t="n"/>
    </row>
    <row r="299">
      <c r="A299" s="17" t="n"/>
      <c r="C299" s="17" t="n"/>
    </row>
    <row r="300">
      <c r="A300" s="17" t="n"/>
      <c r="C300" s="17" t="n"/>
    </row>
    <row r="301">
      <c r="A301" s="17" t="n"/>
      <c r="C301" s="17" t="n"/>
    </row>
    <row r="303">
      <c r="A303" s="11" t="inlineStr">
        <is>
          <t>ESTA HOJA NO SE PUBLICA NI SE COMPARTE. Es la única con nombres completos y teléfonos.</t>
        </is>
      </c>
    </row>
    <row r="304">
      <c r="A304" s="11" t="inlineStr">
        <is>
          <t>SALE_PUBLICO = NO  -&gt;  ese número se ve en el tablero como «Reservado», sin nombre.</t>
        </is>
      </c>
    </row>
    <row r="305">
      <c r="A305" s="11" t="inlineStr">
        <is>
          <t>QUIERE_TBW = SI  -&gt;  dijo que SÍ quiere saber de The Ber Way (decisión 38). Vacío o NO = no se le escribe.</t>
        </is>
      </c>
    </row>
  </sheetData>
  <dataValidations count="2">
    <dataValidation sqref="D2:D1001" showDropDown="0" showInputMessage="0" showErrorMessage="0" allowBlank="1" type="list">
      <formula1>"SI,NO"</formula1>
    </dataValidation>
    <dataValidation sqref="E2:E100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6F50"/>
    <outlinePr summaryBelow="1" summaryRight="1"/>
    <pageSetUpPr/>
  </sheetPr>
  <dimension ref="A1:J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5" customWidth="1" min="9" max="9"/>
    <col width="30" customWidth="1" min="10" max="10"/>
  </cols>
  <sheetData>
    <row r="1" ht="24" customHeight="1">
      <c r="A1" s="12" t="inlineStr">
        <is>
          <t>FECHA_HORA</t>
        </is>
      </c>
      <c r="B1" s="12" t="inlineStr">
        <is>
          <t>NUMEROS</t>
        </is>
      </c>
      <c r="C1" s="12" t="inlineStr">
        <is>
          <t>CANTIDAD</t>
        </is>
      </c>
      <c r="D1" s="12" t="inlineStr">
        <is>
          <t>MONEDA</t>
        </is>
      </c>
      <c r="E1" s="12" t="inlineStr">
        <is>
          <t>MONTO</t>
        </is>
      </c>
      <c r="F1" s="12" t="inlineStr">
        <is>
          <t>MONTO_COP</t>
        </is>
      </c>
      <c r="G1" s="12" t="inlineStr">
        <is>
          <t>MEDIO</t>
        </is>
      </c>
      <c r="H1" s="12" t="inlineStr">
        <is>
          <t>VENDEDOR</t>
        </is>
      </c>
      <c r="I1" s="12" t="inlineStr">
        <is>
          <t>VERIFICADO_POR</t>
        </is>
      </c>
      <c r="J1" s="12" t="inlineStr">
        <is>
          <t>COMPROBANTE</t>
        </is>
      </c>
    </row>
    <row r="2">
      <c r="A2" s="14" t="n"/>
      <c r="E2" s="18" t="n"/>
      <c r="F2" s="19">
        <f>IF($E2="","",IF($D2="NZD",$E2*NZ!$B$1,$E2))</f>
        <v/>
      </c>
    </row>
    <row r="3">
      <c r="A3" s="14" t="n"/>
      <c r="E3" s="18" t="n"/>
      <c r="F3" s="19">
        <f>IF($E3="","",IF($D3="NZD",$E3*NZ!$B$1,$E3))</f>
        <v/>
      </c>
    </row>
    <row r="4">
      <c r="A4" s="14" t="n"/>
      <c r="E4" s="18" t="n"/>
      <c r="F4" s="19">
        <f>IF($E4="","",IF($D4="NZD",$E4*NZ!$B$1,$E4))</f>
        <v/>
      </c>
    </row>
    <row r="5">
      <c r="A5" s="14" t="n"/>
      <c r="E5" s="18" t="n"/>
      <c r="F5" s="19">
        <f>IF($E5="","",IF($D5="NZD",$E5*NZ!$B$1,$E5))</f>
        <v/>
      </c>
    </row>
    <row r="6">
      <c r="A6" s="14" t="n"/>
      <c r="E6" s="18" t="n"/>
      <c r="F6" s="19">
        <f>IF($E6="","",IF($D6="NZD",$E6*NZ!$B$1,$E6))</f>
        <v/>
      </c>
    </row>
    <row r="7">
      <c r="A7" s="14" t="n"/>
      <c r="E7" s="18" t="n"/>
      <c r="F7" s="19">
        <f>IF($E7="","",IF($D7="NZD",$E7*NZ!$B$1,$E7))</f>
        <v/>
      </c>
    </row>
    <row r="8">
      <c r="A8" s="14" t="n"/>
      <c r="E8" s="18" t="n"/>
      <c r="F8" s="19">
        <f>IF($E8="","",IF($D8="NZD",$E8*NZ!$B$1,$E8))</f>
        <v/>
      </c>
    </row>
    <row r="9">
      <c r="A9" s="14" t="n"/>
      <c r="E9" s="18" t="n"/>
      <c r="F9" s="19">
        <f>IF($E9="","",IF($D9="NZD",$E9*NZ!$B$1,$E9))</f>
        <v/>
      </c>
    </row>
    <row r="10">
      <c r="A10" s="14" t="n"/>
      <c r="E10" s="18" t="n"/>
      <c r="F10" s="19">
        <f>IF($E10="","",IF($D10="NZD",$E10*NZ!$B$1,$E10))</f>
        <v/>
      </c>
    </row>
    <row r="11">
      <c r="A11" s="14" t="n"/>
      <c r="E11" s="18" t="n"/>
      <c r="F11" s="19">
        <f>IF($E11="","",IF($D11="NZD",$E11*NZ!$B$1,$E11))</f>
        <v/>
      </c>
    </row>
    <row r="12">
      <c r="A12" s="14" t="n"/>
      <c r="E12" s="18" t="n"/>
      <c r="F12" s="19">
        <f>IF($E12="","",IF($D12="NZD",$E12*NZ!$B$1,$E12))</f>
        <v/>
      </c>
    </row>
    <row r="13">
      <c r="A13" s="14" t="n"/>
      <c r="E13" s="18" t="n"/>
      <c r="F13" s="19">
        <f>IF($E13="","",IF($D13="NZD",$E13*NZ!$B$1,$E13))</f>
        <v/>
      </c>
    </row>
    <row r="14">
      <c r="A14" s="14" t="n"/>
      <c r="E14" s="18" t="n"/>
      <c r="F14" s="19">
        <f>IF($E14="","",IF($D14="NZD",$E14*NZ!$B$1,$E14))</f>
        <v/>
      </c>
    </row>
    <row r="15">
      <c r="A15" s="14" t="n"/>
      <c r="E15" s="18" t="n"/>
      <c r="F15" s="19">
        <f>IF($E15="","",IF($D15="NZD",$E15*NZ!$B$1,$E15))</f>
        <v/>
      </c>
    </row>
    <row r="16">
      <c r="A16" s="14" t="n"/>
      <c r="E16" s="18" t="n"/>
      <c r="F16" s="19">
        <f>IF($E16="","",IF($D16="NZD",$E16*NZ!$B$1,$E16))</f>
        <v/>
      </c>
    </row>
    <row r="17">
      <c r="A17" s="14" t="n"/>
      <c r="E17" s="18" t="n"/>
      <c r="F17" s="19">
        <f>IF($E17="","",IF($D17="NZD",$E17*NZ!$B$1,$E17))</f>
        <v/>
      </c>
    </row>
    <row r="18">
      <c r="A18" s="14" t="n"/>
      <c r="E18" s="18" t="n"/>
      <c r="F18" s="19">
        <f>IF($E18="","",IF($D18="NZD",$E18*NZ!$B$1,$E18))</f>
        <v/>
      </c>
    </row>
    <row r="19">
      <c r="A19" s="14" t="n"/>
      <c r="E19" s="18" t="n"/>
      <c r="F19" s="19">
        <f>IF($E19="","",IF($D19="NZD",$E19*NZ!$B$1,$E19))</f>
        <v/>
      </c>
    </row>
    <row r="20">
      <c r="A20" s="14" t="n"/>
      <c r="E20" s="18" t="n"/>
      <c r="F20" s="19">
        <f>IF($E20="","",IF($D20="NZD",$E20*NZ!$B$1,$E20))</f>
        <v/>
      </c>
    </row>
    <row r="21">
      <c r="A21" s="14" t="n"/>
      <c r="E21" s="18" t="n"/>
      <c r="F21" s="19">
        <f>IF($E21="","",IF($D21="NZD",$E21*NZ!$B$1,$E21))</f>
        <v/>
      </c>
    </row>
    <row r="22">
      <c r="A22" s="14" t="n"/>
      <c r="E22" s="18" t="n"/>
      <c r="F22" s="19">
        <f>IF($E22="","",IF($D22="NZD",$E22*NZ!$B$1,$E22))</f>
        <v/>
      </c>
    </row>
    <row r="23">
      <c r="A23" s="14" t="n"/>
      <c r="E23" s="18" t="n"/>
      <c r="F23" s="19">
        <f>IF($E23="","",IF($D23="NZD",$E23*NZ!$B$1,$E23))</f>
        <v/>
      </c>
    </row>
    <row r="24">
      <c r="A24" s="14" t="n"/>
      <c r="E24" s="18" t="n"/>
      <c r="F24" s="19">
        <f>IF($E24="","",IF($D24="NZD",$E24*NZ!$B$1,$E24))</f>
        <v/>
      </c>
    </row>
    <row r="25">
      <c r="A25" s="14" t="n"/>
      <c r="E25" s="18" t="n"/>
      <c r="F25" s="19">
        <f>IF($E25="","",IF($D25="NZD",$E25*NZ!$B$1,$E25))</f>
        <v/>
      </c>
    </row>
    <row r="26">
      <c r="A26" s="14" t="n"/>
      <c r="E26" s="18" t="n"/>
      <c r="F26" s="19">
        <f>IF($E26="","",IF($D26="NZD",$E26*NZ!$B$1,$E26))</f>
        <v/>
      </c>
    </row>
    <row r="27">
      <c r="A27" s="14" t="n"/>
      <c r="E27" s="18" t="n"/>
      <c r="F27" s="19">
        <f>IF($E27="","",IF($D27="NZD",$E27*NZ!$B$1,$E27))</f>
        <v/>
      </c>
    </row>
    <row r="28">
      <c r="A28" s="14" t="n"/>
      <c r="E28" s="18" t="n"/>
      <c r="F28" s="19">
        <f>IF($E28="","",IF($D28="NZD",$E28*NZ!$B$1,$E28))</f>
        <v/>
      </c>
    </row>
    <row r="29">
      <c r="A29" s="14" t="n"/>
      <c r="E29" s="18" t="n"/>
      <c r="F29" s="19">
        <f>IF($E29="","",IF($D29="NZD",$E29*NZ!$B$1,$E29))</f>
        <v/>
      </c>
    </row>
    <row r="30">
      <c r="A30" s="14" t="n"/>
      <c r="E30" s="18" t="n"/>
      <c r="F30" s="19">
        <f>IF($E30="","",IF($D30="NZD",$E30*NZ!$B$1,$E30))</f>
        <v/>
      </c>
    </row>
    <row r="31">
      <c r="A31" s="14" t="n"/>
      <c r="E31" s="18" t="n"/>
      <c r="F31" s="19">
        <f>IF($E31="","",IF($D31="NZD",$E31*NZ!$B$1,$E31))</f>
        <v/>
      </c>
    </row>
    <row r="32">
      <c r="A32" s="14" t="n"/>
      <c r="E32" s="18" t="n"/>
      <c r="F32" s="19">
        <f>IF($E32="","",IF($D32="NZD",$E32*NZ!$B$1,$E32))</f>
        <v/>
      </c>
    </row>
    <row r="33">
      <c r="A33" s="14" t="n"/>
      <c r="E33" s="18" t="n"/>
      <c r="F33" s="19">
        <f>IF($E33="","",IF($D33="NZD",$E33*NZ!$B$1,$E33))</f>
        <v/>
      </c>
    </row>
    <row r="34">
      <c r="A34" s="14" t="n"/>
      <c r="E34" s="18" t="n"/>
      <c r="F34" s="19">
        <f>IF($E34="","",IF($D34="NZD",$E34*NZ!$B$1,$E34))</f>
        <v/>
      </c>
    </row>
    <row r="35">
      <c r="A35" s="14" t="n"/>
      <c r="E35" s="18" t="n"/>
      <c r="F35" s="19">
        <f>IF($E35="","",IF($D35="NZD",$E35*NZ!$B$1,$E35))</f>
        <v/>
      </c>
    </row>
    <row r="36">
      <c r="A36" s="14" t="n"/>
      <c r="E36" s="18" t="n"/>
      <c r="F36" s="19">
        <f>IF($E36="","",IF($D36="NZD",$E36*NZ!$B$1,$E36))</f>
        <v/>
      </c>
    </row>
    <row r="37">
      <c r="A37" s="14" t="n"/>
      <c r="E37" s="18" t="n"/>
      <c r="F37" s="19">
        <f>IF($E37="","",IF($D37="NZD",$E37*NZ!$B$1,$E37))</f>
        <v/>
      </c>
    </row>
    <row r="38">
      <c r="A38" s="14" t="n"/>
      <c r="E38" s="18" t="n"/>
      <c r="F38" s="19">
        <f>IF($E38="","",IF($D38="NZD",$E38*NZ!$B$1,$E38))</f>
        <v/>
      </c>
    </row>
    <row r="39">
      <c r="A39" s="14" t="n"/>
      <c r="E39" s="18" t="n"/>
      <c r="F39" s="19">
        <f>IF($E39="","",IF($D39="NZD",$E39*NZ!$B$1,$E39))</f>
        <v/>
      </c>
    </row>
    <row r="40">
      <c r="A40" s="14" t="n"/>
      <c r="E40" s="18" t="n"/>
      <c r="F40" s="19">
        <f>IF($E40="","",IF($D40="NZD",$E40*NZ!$B$1,$E40))</f>
        <v/>
      </c>
    </row>
    <row r="41">
      <c r="A41" s="14" t="n"/>
      <c r="E41" s="18" t="n"/>
      <c r="F41" s="19">
        <f>IF($E41="","",IF($D41="NZD",$E41*NZ!$B$1,$E41))</f>
        <v/>
      </c>
    </row>
    <row r="42">
      <c r="A42" s="14" t="n"/>
      <c r="E42" s="18" t="n"/>
      <c r="F42" s="19">
        <f>IF($E42="","",IF($D42="NZD",$E42*NZ!$B$1,$E42))</f>
        <v/>
      </c>
    </row>
    <row r="43">
      <c r="A43" s="14" t="n"/>
      <c r="E43" s="18" t="n"/>
      <c r="F43" s="19">
        <f>IF($E43="","",IF($D43="NZD",$E43*NZ!$B$1,$E43))</f>
        <v/>
      </c>
    </row>
    <row r="44">
      <c r="A44" s="14" t="n"/>
      <c r="E44" s="18" t="n"/>
      <c r="F44" s="19">
        <f>IF($E44="","",IF($D44="NZD",$E44*NZ!$B$1,$E44))</f>
        <v/>
      </c>
    </row>
    <row r="45">
      <c r="A45" s="14" t="n"/>
      <c r="E45" s="18" t="n"/>
      <c r="F45" s="19">
        <f>IF($E45="","",IF($D45="NZD",$E45*NZ!$B$1,$E45))</f>
        <v/>
      </c>
    </row>
    <row r="46">
      <c r="A46" s="14" t="n"/>
      <c r="E46" s="18" t="n"/>
      <c r="F46" s="19">
        <f>IF($E46="","",IF($D46="NZD",$E46*NZ!$B$1,$E46))</f>
        <v/>
      </c>
    </row>
    <row r="47">
      <c r="A47" s="14" t="n"/>
      <c r="E47" s="18" t="n"/>
      <c r="F47" s="19">
        <f>IF($E47="","",IF($D47="NZD",$E47*NZ!$B$1,$E47))</f>
        <v/>
      </c>
    </row>
    <row r="48">
      <c r="A48" s="14" t="n"/>
      <c r="E48" s="18" t="n"/>
      <c r="F48" s="19">
        <f>IF($E48="","",IF($D48="NZD",$E48*NZ!$B$1,$E48))</f>
        <v/>
      </c>
    </row>
    <row r="49">
      <c r="A49" s="14" t="n"/>
      <c r="E49" s="18" t="n"/>
      <c r="F49" s="19">
        <f>IF($E49="","",IF($D49="NZD",$E49*NZ!$B$1,$E49))</f>
        <v/>
      </c>
    </row>
    <row r="50">
      <c r="A50" s="14" t="n"/>
      <c r="E50" s="18" t="n"/>
      <c r="F50" s="19">
        <f>IF($E50="","",IF($D50="NZD",$E50*NZ!$B$1,$E50))</f>
        <v/>
      </c>
    </row>
    <row r="51">
      <c r="A51" s="14" t="n"/>
      <c r="E51" s="18" t="n"/>
      <c r="F51" s="19">
        <f>IF($E51="","",IF($D51="NZD",$E51*NZ!$B$1,$E51))</f>
        <v/>
      </c>
    </row>
    <row r="52">
      <c r="A52" s="14" t="n"/>
      <c r="E52" s="18" t="n"/>
      <c r="F52" s="19">
        <f>IF($E52="","",IF($D52="NZD",$E52*NZ!$B$1,$E52))</f>
        <v/>
      </c>
    </row>
    <row r="53">
      <c r="A53" s="14" t="n"/>
      <c r="E53" s="18" t="n"/>
      <c r="F53" s="19">
        <f>IF($E53="","",IF($D53="NZD",$E53*NZ!$B$1,$E53))</f>
        <v/>
      </c>
    </row>
    <row r="54">
      <c r="A54" s="14" t="n"/>
      <c r="E54" s="18" t="n"/>
      <c r="F54" s="19">
        <f>IF($E54="","",IF($D54="NZD",$E54*NZ!$B$1,$E54))</f>
        <v/>
      </c>
    </row>
    <row r="55">
      <c r="A55" s="14" t="n"/>
      <c r="E55" s="18" t="n"/>
      <c r="F55" s="19">
        <f>IF($E55="","",IF($D55="NZD",$E55*NZ!$B$1,$E55))</f>
        <v/>
      </c>
    </row>
    <row r="56">
      <c r="A56" s="14" t="n"/>
      <c r="E56" s="18" t="n"/>
      <c r="F56" s="19">
        <f>IF($E56="","",IF($D56="NZD",$E56*NZ!$B$1,$E56))</f>
        <v/>
      </c>
    </row>
    <row r="57">
      <c r="A57" s="14" t="n"/>
      <c r="E57" s="18" t="n"/>
      <c r="F57" s="19">
        <f>IF($E57="","",IF($D57="NZD",$E57*NZ!$B$1,$E57))</f>
        <v/>
      </c>
    </row>
    <row r="58">
      <c r="A58" s="14" t="n"/>
      <c r="E58" s="18" t="n"/>
      <c r="F58" s="19">
        <f>IF($E58="","",IF($D58="NZD",$E58*NZ!$B$1,$E58))</f>
        <v/>
      </c>
    </row>
    <row r="59">
      <c r="A59" s="14" t="n"/>
      <c r="E59" s="18" t="n"/>
      <c r="F59" s="19">
        <f>IF($E59="","",IF($D59="NZD",$E59*NZ!$B$1,$E59))</f>
        <v/>
      </c>
    </row>
    <row r="60">
      <c r="A60" s="14" t="n"/>
      <c r="E60" s="18" t="n"/>
      <c r="F60" s="19">
        <f>IF($E60="","",IF($D60="NZD",$E60*NZ!$B$1,$E60))</f>
        <v/>
      </c>
    </row>
    <row r="61">
      <c r="A61" s="14" t="n"/>
      <c r="E61" s="18" t="n"/>
      <c r="F61" s="19">
        <f>IF($E61="","",IF($D61="NZD",$E61*NZ!$B$1,$E61))</f>
        <v/>
      </c>
    </row>
    <row r="62">
      <c r="A62" s="14" t="n"/>
      <c r="E62" s="18" t="n"/>
      <c r="F62" s="19">
        <f>IF($E62="","",IF($D62="NZD",$E62*NZ!$B$1,$E62))</f>
        <v/>
      </c>
    </row>
    <row r="63">
      <c r="A63" s="14" t="n"/>
      <c r="E63" s="18" t="n"/>
      <c r="F63" s="19">
        <f>IF($E63="","",IF($D63="NZD",$E63*NZ!$B$1,$E63))</f>
        <v/>
      </c>
    </row>
    <row r="64">
      <c r="A64" s="14" t="n"/>
      <c r="E64" s="18" t="n"/>
      <c r="F64" s="19">
        <f>IF($E64="","",IF($D64="NZD",$E64*NZ!$B$1,$E64))</f>
        <v/>
      </c>
    </row>
    <row r="65">
      <c r="A65" s="14" t="n"/>
      <c r="E65" s="18" t="n"/>
      <c r="F65" s="19">
        <f>IF($E65="","",IF($D65="NZD",$E65*NZ!$B$1,$E65))</f>
        <v/>
      </c>
    </row>
    <row r="66">
      <c r="A66" s="14" t="n"/>
      <c r="E66" s="18" t="n"/>
      <c r="F66" s="19">
        <f>IF($E66="","",IF($D66="NZD",$E66*NZ!$B$1,$E66))</f>
        <v/>
      </c>
    </row>
    <row r="67">
      <c r="A67" s="14" t="n"/>
      <c r="E67" s="18" t="n"/>
      <c r="F67" s="19">
        <f>IF($E67="","",IF($D67="NZD",$E67*NZ!$B$1,$E67))</f>
        <v/>
      </c>
    </row>
    <row r="68">
      <c r="A68" s="14" t="n"/>
      <c r="E68" s="18" t="n"/>
      <c r="F68" s="19">
        <f>IF($E68="","",IF($D68="NZD",$E68*NZ!$B$1,$E68))</f>
        <v/>
      </c>
    </row>
    <row r="69">
      <c r="A69" s="14" t="n"/>
      <c r="E69" s="18" t="n"/>
      <c r="F69" s="19">
        <f>IF($E69="","",IF($D69="NZD",$E69*NZ!$B$1,$E69))</f>
        <v/>
      </c>
    </row>
    <row r="70">
      <c r="A70" s="14" t="n"/>
      <c r="E70" s="18" t="n"/>
      <c r="F70" s="19">
        <f>IF($E70="","",IF($D70="NZD",$E70*NZ!$B$1,$E70))</f>
        <v/>
      </c>
    </row>
    <row r="71">
      <c r="A71" s="14" t="n"/>
      <c r="E71" s="18" t="n"/>
      <c r="F71" s="19">
        <f>IF($E71="","",IF($D71="NZD",$E71*NZ!$B$1,$E71))</f>
        <v/>
      </c>
    </row>
    <row r="72">
      <c r="A72" s="14" t="n"/>
      <c r="E72" s="18" t="n"/>
      <c r="F72" s="19">
        <f>IF($E72="","",IF($D72="NZD",$E72*NZ!$B$1,$E72))</f>
        <v/>
      </c>
    </row>
    <row r="73">
      <c r="A73" s="14" t="n"/>
      <c r="E73" s="18" t="n"/>
      <c r="F73" s="19">
        <f>IF($E73="","",IF($D73="NZD",$E73*NZ!$B$1,$E73))</f>
        <v/>
      </c>
    </row>
    <row r="74">
      <c r="A74" s="14" t="n"/>
      <c r="E74" s="18" t="n"/>
      <c r="F74" s="19">
        <f>IF($E74="","",IF($D74="NZD",$E74*NZ!$B$1,$E74))</f>
        <v/>
      </c>
    </row>
    <row r="75">
      <c r="A75" s="14" t="n"/>
      <c r="E75" s="18" t="n"/>
      <c r="F75" s="19">
        <f>IF($E75="","",IF($D75="NZD",$E75*NZ!$B$1,$E75))</f>
        <v/>
      </c>
    </row>
    <row r="76">
      <c r="A76" s="14" t="n"/>
      <c r="E76" s="18" t="n"/>
      <c r="F76" s="19">
        <f>IF($E76="","",IF($D76="NZD",$E76*NZ!$B$1,$E76))</f>
        <v/>
      </c>
    </row>
    <row r="77">
      <c r="A77" s="14" t="n"/>
      <c r="E77" s="18" t="n"/>
      <c r="F77" s="19">
        <f>IF($E77="","",IF($D77="NZD",$E77*NZ!$B$1,$E77))</f>
        <v/>
      </c>
    </row>
    <row r="78">
      <c r="A78" s="14" t="n"/>
      <c r="E78" s="18" t="n"/>
      <c r="F78" s="19">
        <f>IF($E78="","",IF($D78="NZD",$E78*NZ!$B$1,$E78))</f>
        <v/>
      </c>
    </row>
    <row r="79">
      <c r="A79" s="14" t="n"/>
      <c r="E79" s="18" t="n"/>
      <c r="F79" s="19">
        <f>IF($E79="","",IF($D79="NZD",$E79*NZ!$B$1,$E79))</f>
        <v/>
      </c>
    </row>
    <row r="80">
      <c r="A80" s="14" t="n"/>
      <c r="E80" s="18" t="n"/>
      <c r="F80" s="19">
        <f>IF($E80="","",IF($D80="NZD",$E80*NZ!$B$1,$E80))</f>
        <v/>
      </c>
    </row>
    <row r="81">
      <c r="A81" s="14" t="n"/>
      <c r="E81" s="18" t="n"/>
      <c r="F81" s="19">
        <f>IF($E81="","",IF($D81="NZD",$E81*NZ!$B$1,$E81))</f>
        <v/>
      </c>
    </row>
    <row r="82">
      <c r="A82" s="14" t="n"/>
      <c r="E82" s="18" t="n"/>
      <c r="F82" s="19">
        <f>IF($E82="","",IF($D82="NZD",$E82*NZ!$B$1,$E82))</f>
        <v/>
      </c>
    </row>
    <row r="83">
      <c r="A83" s="14" t="n"/>
      <c r="E83" s="18" t="n"/>
      <c r="F83" s="19">
        <f>IF($E83="","",IF($D83="NZD",$E83*NZ!$B$1,$E83))</f>
        <v/>
      </c>
    </row>
    <row r="84">
      <c r="A84" s="14" t="n"/>
      <c r="E84" s="18" t="n"/>
      <c r="F84" s="19">
        <f>IF($E84="","",IF($D84="NZD",$E84*NZ!$B$1,$E84))</f>
        <v/>
      </c>
    </row>
    <row r="85">
      <c r="A85" s="14" t="n"/>
      <c r="E85" s="18" t="n"/>
      <c r="F85" s="19">
        <f>IF($E85="","",IF($D85="NZD",$E85*NZ!$B$1,$E85))</f>
        <v/>
      </c>
    </row>
    <row r="86">
      <c r="A86" s="14" t="n"/>
      <c r="E86" s="18" t="n"/>
      <c r="F86" s="19">
        <f>IF($E86="","",IF($D86="NZD",$E86*NZ!$B$1,$E86))</f>
        <v/>
      </c>
    </row>
    <row r="87">
      <c r="A87" s="14" t="n"/>
      <c r="E87" s="18" t="n"/>
      <c r="F87" s="19">
        <f>IF($E87="","",IF($D87="NZD",$E87*NZ!$B$1,$E87))</f>
        <v/>
      </c>
    </row>
    <row r="88">
      <c r="A88" s="14" t="n"/>
      <c r="E88" s="18" t="n"/>
      <c r="F88" s="19">
        <f>IF($E88="","",IF($D88="NZD",$E88*NZ!$B$1,$E88))</f>
        <v/>
      </c>
    </row>
    <row r="89">
      <c r="A89" s="14" t="n"/>
      <c r="E89" s="18" t="n"/>
      <c r="F89" s="19">
        <f>IF($E89="","",IF($D89="NZD",$E89*NZ!$B$1,$E89))</f>
        <v/>
      </c>
    </row>
    <row r="90">
      <c r="A90" s="14" t="n"/>
      <c r="E90" s="18" t="n"/>
      <c r="F90" s="19">
        <f>IF($E90="","",IF($D90="NZD",$E90*NZ!$B$1,$E90))</f>
        <v/>
      </c>
    </row>
    <row r="91">
      <c r="A91" s="14" t="n"/>
      <c r="E91" s="18" t="n"/>
      <c r="F91" s="19">
        <f>IF($E91="","",IF($D91="NZD",$E91*NZ!$B$1,$E91))</f>
        <v/>
      </c>
    </row>
    <row r="92">
      <c r="A92" s="14" t="n"/>
      <c r="E92" s="18" t="n"/>
      <c r="F92" s="19">
        <f>IF($E92="","",IF($D92="NZD",$E92*NZ!$B$1,$E92))</f>
        <v/>
      </c>
    </row>
    <row r="93">
      <c r="A93" s="14" t="n"/>
      <c r="E93" s="18" t="n"/>
      <c r="F93" s="19">
        <f>IF($E93="","",IF($D93="NZD",$E93*NZ!$B$1,$E93))</f>
        <v/>
      </c>
    </row>
    <row r="94">
      <c r="A94" s="14" t="n"/>
      <c r="E94" s="18" t="n"/>
      <c r="F94" s="19">
        <f>IF($E94="","",IF($D94="NZD",$E94*NZ!$B$1,$E94))</f>
        <v/>
      </c>
    </row>
    <row r="95">
      <c r="A95" s="14" t="n"/>
      <c r="E95" s="18" t="n"/>
      <c r="F95" s="19">
        <f>IF($E95="","",IF($D95="NZD",$E95*NZ!$B$1,$E95))</f>
        <v/>
      </c>
    </row>
    <row r="96">
      <c r="A96" s="14" t="n"/>
      <c r="E96" s="18" t="n"/>
      <c r="F96" s="19">
        <f>IF($E96="","",IF($D96="NZD",$E96*NZ!$B$1,$E96))</f>
        <v/>
      </c>
    </row>
    <row r="97">
      <c r="A97" s="14" t="n"/>
      <c r="E97" s="18" t="n"/>
      <c r="F97" s="19">
        <f>IF($E97="","",IF($D97="NZD",$E97*NZ!$B$1,$E97))</f>
        <v/>
      </c>
    </row>
    <row r="98">
      <c r="A98" s="14" t="n"/>
      <c r="E98" s="18" t="n"/>
      <c r="F98" s="19">
        <f>IF($E98="","",IF($D98="NZD",$E98*NZ!$B$1,$E98))</f>
        <v/>
      </c>
    </row>
    <row r="99">
      <c r="A99" s="14" t="n"/>
      <c r="E99" s="18" t="n"/>
      <c r="F99" s="19">
        <f>IF($E99="","",IF($D99="NZD",$E99*NZ!$B$1,$E99))</f>
        <v/>
      </c>
    </row>
    <row r="100">
      <c r="A100" s="14" t="n"/>
      <c r="E100" s="18" t="n"/>
      <c r="F100" s="19">
        <f>IF($E100="","",IF($D100="NZD",$E100*NZ!$B$1,$E100))</f>
        <v/>
      </c>
    </row>
    <row r="101">
      <c r="A101" s="14" t="n"/>
      <c r="E101" s="18" t="n"/>
      <c r="F101" s="19">
        <f>IF($E101="","",IF($D101="NZD",$E101*NZ!$B$1,$E101))</f>
        <v/>
      </c>
    </row>
    <row r="102">
      <c r="A102" s="14" t="n"/>
      <c r="E102" s="18" t="n"/>
      <c r="F102" s="19">
        <f>IF($E102="","",IF($D102="NZD",$E102*NZ!$B$1,$E102))</f>
        <v/>
      </c>
    </row>
    <row r="103">
      <c r="A103" s="14" t="n"/>
      <c r="E103" s="18" t="n"/>
      <c r="F103" s="19">
        <f>IF($E103="","",IF($D103="NZD",$E103*NZ!$B$1,$E103))</f>
        <v/>
      </c>
    </row>
    <row r="104">
      <c r="A104" s="14" t="n"/>
      <c r="E104" s="18" t="n"/>
      <c r="F104" s="19">
        <f>IF($E104="","",IF($D104="NZD",$E104*NZ!$B$1,$E104))</f>
        <v/>
      </c>
    </row>
    <row r="105">
      <c r="A105" s="14" t="n"/>
      <c r="E105" s="18" t="n"/>
      <c r="F105" s="19">
        <f>IF($E105="","",IF($D105="NZD",$E105*NZ!$B$1,$E105))</f>
        <v/>
      </c>
    </row>
    <row r="106">
      <c r="A106" s="14" t="n"/>
      <c r="E106" s="18" t="n"/>
      <c r="F106" s="19">
        <f>IF($E106="","",IF($D106="NZD",$E106*NZ!$B$1,$E106))</f>
        <v/>
      </c>
    </row>
    <row r="107">
      <c r="A107" s="14" t="n"/>
      <c r="E107" s="18" t="n"/>
      <c r="F107" s="19">
        <f>IF($E107="","",IF($D107="NZD",$E107*NZ!$B$1,$E107))</f>
        <v/>
      </c>
    </row>
    <row r="108">
      <c r="A108" s="14" t="n"/>
      <c r="E108" s="18" t="n"/>
      <c r="F108" s="19">
        <f>IF($E108="","",IF($D108="NZD",$E108*NZ!$B$1,$E108))</f>
        <v/>
      </c>
    </row>
    <row r="109">
      <c r="A109" s="14" t="n"/>
      <c r="E109" s="18" t="n"/>
      <c r="F109" s="19">
        <f>IF($E109="","",IF($D109="NZD",$E109*NZ!$B$1,$E109))</f>
        <v/>
      </c>
    </row>
    <row r="110">
      <c r="A110" s="14" t="n"/>
      <c r="E110" s="18" t="n"/>
      <c r="F110" s="19">
        <f>IF($E110="","",IF($D110="NZD",$E110*NZ!$B$1,$E110))</f>
        <v/>
      </c>
    </row>
    <row r="111">
      <c r="A111" s="14" t="n"/>
      <c r="E111" s="18" t="n"/>
      <c r="F111" s="19">
        <f>IF($E111="","",IF($D111="NZD",$E111*NZ!$B$1,$E111))</f>
        <v/>
      </c>
    </row>
    <row r="112">
      <c r="A112" s="14" t="n"/>
      <c r="E112" s="18" t="n"/>
      <c r="F112" s="19">
        <f>IF($E112="","",IF($D112="NZD",$E112*NZ!$B$1,$E112))</f>
        <v/>
      </c>
    </row>
    <row r="113">
      <c r="A113" s="14" t="n"/>
      <c r="E113" s="18" t="n"/>
      <c r="F113" s="19">
        <f>IF($E113="","",IF($D113="NZD",$E113*NZ!$B$1,$E113))</f>
        <v/>
      </c>
    </row>
    <row r="114">
      <c r="A114" s="14" t="n"/>
      <c r="E114" s="18" t="n"/>
      <c r="F114" s="19">
        <f>IF($E114="","",IF($D114="NZD",$E114*NZ!$B$1,$E114))</f>
        <v/>
      </c>
    </row>
    <row r="115">
      <c r="A115" s="14" t="n"/>
      <c r="E115" s="18" t="n"/>
      <c r="F115" s="19">
        <f>IF($E115="","",IF($D115="NZD",$E115*NZ!$B$1,$E115))</f>
        <v/>
      </c>
    </row>
    <row r="116">
      <c r="A116" s="14" t="n"/>
      <c r="E116" s="18" t="n"/>
      <c r="F116" s="19">
        <f>IF($E116="","",IF($D116="NZD",$E116*NZ!$B$1,$E116))</f>
        <v/>
      </c>
    </row>
    <row r="117">
      <c r="A117" s="14" t="n"/>
      <c r="E117" s="18" t="n"/>
      <c r="F117" s="19">
        <f>IF($E117="","",IF($D117="NZD",$E117*NZ!$B$1,$E117))</f>
        <v/>
      </c>
    </row>
    <row r="118">
      <c r="A118" s="14" t="n"/>
      <c r="E118" s="18" t="n"/>
      <c r="F118" s="19">
        <f>IF($E118="","",IF($D118="NZD",$E118*NZ!$B$1,$E118))</f>
        <v/>
      </c>
    </row>
    <row r="119">
      <c r="A119" s="14" t="n"/>
      <c r="E119" s="18" t="n"/>
      <c r="F119" s="19">
        <f>IF($E119="","",IF($D119="NZD",$E119*NZ!$B$1,$E119))</f>
        <v/>
      </c>
    </row>
    <row r="120">
      <c r="A120" s="14" t="n"/>
      <c r="E120" s="18" t="n"/>
      <c r="F120" s="19">
        <f>IF($E120="","",IF($D120="NZD",$E120*NZ!$B$1,$E120))</f>
        <v/>
      </c>
    </row>
    <row r="121">
      <c r="A121" s="14" t="n"/>
      <c r="E121" s="18" t="n"/>
      <c r="F121" s="19">
        <f>IF($E121="","",IF($D121="NZD",$E121*NZ!$B$1,$E121))</f>
        <v/>
      </c>
    </row>
    <row r="122">
      <c r="A122" s="14" t="n"/>
      <c r="E122" s="18" t="n"/>
      <c r="F122" s="19">
        <f>IF($E122="","",IF($D122="NZD",$E122*NZ!$B$1,$E122))</f>
        <v/>
      </c>
    </row>
    <row r="123">
      <c r="A123" s="14" t="n"/>
      <c r="E123" s="18" t="n"/>
      <c r="F123" s="19">
        <f>IF($E123="","",IF($D123="NZD",$E123*NZ!$B$1,$E123))</f>
        <v/>
      </c>
    </row>
    <row r="124">
      <c r="A124" s="14" t="n"/>
      <c r="E124" s="18" t="n"/>
      <c r="F124" s="19">
        <f>IF($E124="","",IF($D124="NZD",$E124*NZ!$B$1,$E124))</f>
        <v/>
      </c>
    </row>
    <row r="125">
      <c r="A125" s="14" t="n"/>
      <c r="E125" s="18" t="n"/>
      <c r="F125" s="19">
        <f>IF($E125="","",IF($D125="NZD",$E125*NZ!$B$1,$E125))</f>
        <v/>
      </c>
    </row>
    <row r="126">
      <c r="A126" s="14" t="n"/>
      <c r="E126" s="18" t="n"/>
      <c r="F126" s="19">
        <f>IF($E126="","",IF($D126="NZD",$E126*NZ!$B$1,$E126))</f>
        <v/>
      </c>
    </row>
    <row r="127">
      <c r="A127" s="14" t="n"/>
      <c r="E127" s="18" t="n"/>
      <c r="F127" s="19">
        <f>IF($E127="","",IF($D127="NZD",$E127*NZ!$B$1,$E127))</f>
        <v/>
      </c>
    </row>
    <row r="128">
      <c r="A128" s="14" t="n"/>
      <c r="E128" s="18" t="n"/>
      <c r="F128" s="19">
        <f>IF($E128="","",IF($D128="NZD",$E128*NZ!$B$1,$E128))</f>
        <v/>
      </c>
    </row>
    <row r="129">
      <c r="A129" s="14" t="n"/>
      <c r="E129" s="18" t="n"/>
      <c r="F129" s="19">
        <f>IF($E129="","",IF($D129="NZD",$E129*NZ!$B$1,$E129))</f>
        <v/>
      </c>
    </row>
    <row r="130">
      <c r="A130" s="14" t="n"/>
      <c r="E130" s="18" t="n"/>
      <c r="F130" s="19">
        <f>IF($E130="","",IF($D130="NZD",$E130*NZ!$B$1,$E130))</f>
        <v/>
      </c>
    </row>
    <row r="131">
      <c r="A131" s="14" t="n"/>
      <c r="E131" s="18" t="n"/>
      <c r="F131" s="19">
        <f>IF($E131="","",IF($D131="NZD",$E131*NZ!$B$1,$E131))</f>
        <v/>
      </c>
    </row>
    <row r="132">
      <c r="A132" s="14" t="n"/>
      <c r="E132" s="18" t="n"/>
      <c r="F132" s="19">
        <f>IF($E132="","",IF($D132="NZD",$E132*NZ!$B$1,$E132))</f>
        <v/>
      </c>
    </row>
    <row r="133">
      <c r="A133" s="14" t="n"/>
      <c r="E133" s="18" t="n"/>
      <c r="F133" s="19">
        <f>IF($E133="","",IF($D133="NZD",$E133*NZ!$B$1,$E133))</f>
        <v/>
      </c>
    </row>
    <row r="134">
      <c r="A134" s="14" t="n"/>
      <c r="E134" s="18" t="n"/>
      <c r="F134" s="19">
        <f>IF($E134="","",IF($D134="NZD",$E134*NZ!$B$1,$E134))</f>
        <v/>
      </c>
    </row>
    <row r="135">
      <c r="A135" s="14" t="n"/>
      <c r="E135" s="18" t="n"/>
      <c r="F135" s="19">
        <f>IF($E135="","",IF($D135="NZD",$E135*NZ!$B$1,$E135))</f>
        <v/>
      </c>
    </row>
    <row r="136">
      <c r="A136" s="14" t="n"/>
      <c r="E136" s="18" t="n"/>
      <c r="F136" s="19">
        <f>IF($E136="","",IF($D136="NZD",$E136*NZ!$B$1,$E136))</f>
        <v/>
      </c>
    </row>
    <row r="137">
      <c r="A137" s="14" t="n"/>
      <c r="E137" s="18" t="n"/>
      <c r="F137" s="19">
        <f>IF($E137="","",IF($D137="NZD",$E137*NZ!$B$1,$E137))</f>
        <v/>
      </c>
    </row>
    <row r="138">
      <c r="A138" s="14" t="n"/>
      <c r="E138" s="18" t="n"/>
      <c r="F138" s="19">
        <f>IF($E138="","",IF($D138="NZD",$E138*NZ!$B$1,$E138))</f>
        <v/>
      </c>
    </row>
    <row r="139">
      <c r="A139" s="14" t="n"/>
      <c r="E139" s="18" t="n"/>
      <c r="F139" s="19">
        <f>IF($E139="","",IF($D139="NZD",$E139*NZ!$B$1,$E139))</f>
        <v/>
      </c>
    </row>
    <row r="140">
      <c r="A140" s="14" t="n"/>
      <c r="E140" s="18" t="n"/>
      <c r="F140" s="19">
        <f>IF($E140="","",IF($D140="NZD",$E140*NZ!$B$1,$E140))</f>
        <v/>
      </c>
    </row>
    <row r="141">
      <c r="A141" s="14" t="n"/>
      <c r="E141" s="18" t="n"/>
      <c r="F141" s="19">
        <f>IF($E141="","",IF($D141="NZD",$E141*NZ!$B$1,$E141))</f>
        <v/>
      </c>
    </row>
    <row r="142">
      <c r="A142" s="14" t="n"/>
      <c r="E142" s="18" t="n"/>
      <c r="F142" s="19">
        <f>IF($E142="","",IF($D142="NZD",$E142*NZ!$B$1,$E142))</f>
        <v/>
      </c>
    </row>
    <row r="143">
      <c r="A143" s="14" t="n"/>
      <c r="E143" s="18" t="n"/>
      <c r="F143" s="19">
        <f>IF($E143="","",IF($D143="NZD",$E143*NZ!$B$1,$E143))</f>
        <v/>
      </c>
    </row>
    <row r="144">
      <c r="A144" s="14" t="n"/>
      <c r="E144" s="18" t="n"/>
      <c r="F144" s="19">
        <f>IF($E144="","",IF($D144="NZD",$E144*NZ!$B$1,$E144))</f>
        <v/>
      </c>
    </row>
    <row r="145">
      <c r="A145" s="14" t="n"/>
      <c r="E145" s="18" t="n"/>
      <c r="F145" s="19">
        <f>IF($E145="","",IF($D145="NZD",$E145*NZ!$B$1,$E145))</f>
        <v/>
      </c>
    </row>
    <row r="146">
      <c r="A146" s="14" t="n"/>
      <c r="E146" s="18" t="n"/>
      <c r="F146" s="19">
        <f>IF($E146="","",IF($D146="NZD",$E146*NZ!$B$1,$E146))</f>
        <v/>
      </c>
    </row>
    <row r="147">
      <c r="A147" s="14" t="n"/>
      <c r="E147" s="18" t="n"/>
      <c r="F147" s="19">
        <f>IF($E147="","",IF($D147="NZD",$E147*NZ!$B$1,$E147))</f>
        <v/>
      </c>
    </row>
    <row r="148">
      <c r="A148" s="14" t="n"/>
      <c r="E148" s="18" t="n"/>
      <c r="F148" s="19">
        <f>IF($E148="","",IF($D148="NZD",$E148*NZ!$B$1,$E148))</f>
        <v/>
      </c>
    </row>
    <row r="149">
      <c r="A149" s="14" t="n"/>
      <c r="E149" s="18" t="n"/>
      <c r="F149" s="19">
        <f>IF($E149="","",IF($D149="NZD",$E149*NZ!$B$1,$E149))</f>
        <v/>
      </c>
    </row>
    <row r="150">
      <c r="A150" s="14" t="n"/>
      <c r="E150" s="18" t="n"/>
      <c r="F150" s="19">
        <f>IF($E150="","",IF($D150="NZD",$E150*NZ!$B$1,$E150))</f>
        <v/>
      </c>
    </row>
    <row r="151">
      <c r="A151" s="14" t="n"/>
      <c r="E151" s="18" t="n"/>
      <c r="F151" s="19">
        <f>IF($E151="","",IF($D151="NZD",$E151*NZ!$B$1,$E151))</f>
        <v/>
      </c>
    </row>
    <row r="152">
      <c r="A152" s="14" t="n"/>
      <c r="E152" s="18" t="n"/>
      <c r="F152" s="19">
        <f>IF($E152="","",IF($D152="NZD",$E152*NZ!$B$1,$E152))</f>
        <v/>
      </c>
    </row>
    <row r="153">
      <c r="A153" s="14" t="n"/>
      <c r="E153" s="18" t="n"/>
      <c r="F153" s="19">
        <f>IF($E153="","",IF($D153="NZD",$E153*NZ!$B$1,$E153))</f>
        <v/>
      </c>
    </row>
    <row r="154">
      <c r="A154" s="14" t="n"/>
      <c r="E154" s="18" t="n"/>
      <c r="F154" s="19">
        <f>IF($E154="","",IF($D154="NZD",$E154*NZ!$B$1,$E154))</f>
        <v/>
      </c>
    </row>
    <row r="155">
      <c r="A155" s="14" t="n"/>
      <c r="E155" s="18" t="n"/>
      <c r="F155" s="19">
        <f>IF($E155="","",IF($D155="NZD",$E155*NZ!$B$1,$E155))</f>
        <v/>
      </c>
    </row>
    <row r="156">
      <c r="A156" s="14" t="n"/>
      <c r="E156" s="18" t="n"/>
      <c r="F156" s="19">
        <f>IF($E156="","",IF($D156="NZD",$E156*NZ!$B$1,$E156))</f>
        <v/>
      </c>
    </row>
    <row r="157">
      <c r="A157" s="14" t="n"/>
      <c r="E157" s="18" t="n"/>
      <c r="F157" s="19">
        <f>IF($E157="","",IF($D157="NZD",$E157*NZ!$B$1,$E157))</f>
        <v/>
      </c>
    </row>
    <row r="158">
      <c r="A158" s="14" t="n"/>
      <c r="E158" s="18" t="n"/>
      <c r="F158" s="19">
        <f>IF($E158="","",IF($D158="NZD",$E158*NZ!$B$1,$E158))</f>
        <v/>
      </c>
    </row>
    <row r="159">
      <c r="A159" s="14" t="n"/>
      <c r="E159" s="18" t="n"/>
      <c r="F159" s="19">
        <f>IF($E159="","",IF($D159="NZD",$E159*NZ!$B$1,$E159))</f>
        <v/>
      </c>
    </row>
    <row r="160">
      <c r="A160" s="14" t="n"/>
      <c r="E160" s="18" t="n"/>
      <c r="F160" s="19">
        <f>IF($E160="","",IF($D160="NZD",$E160*NZ!$B$1,$E160))</f>
        <v/>
      </c>
    </row>
    <row r="161">
      <c r="A161" s="14" t="n"/>
      <c r="E161" s="18" t="n"/>
      <c r="F161" s="19">
        <f>IF($E161="","",IF($D161="NZD",$E161*NZ!$B$1,$E161))</f>
        <v/>
      </c>
    </row>
    <row r="162">
      <c r="A162" s="14" t="n"/>
      <c r="E162" s="18" t="n"/>
      <c r="F162" s="19">
        <f>IF($E162="","",IF($D162="NZD",$E162*NZ!$B$1,$E162))</f>
        <v/>
      </c>
    </row>
    <row r="163">
      <c r="A163" s="14" t="n"/>
      <c r="E163" s="18" t="n"/>
      <c r="F163" s="19">
        <f>IF($E163="","",IF($D163="NZD",$E163*NZ!$B$1,$E163))</f>
        <v/>
      </c>
    </row>
    <row r="164">
      <c r="A164" s="14" t="n"/>
      <c r="E164" s="18" t="n"/>
      <c r="F164" s="19">
        <f>IF($E164="","",IF($D164="NZD",$E164*NZ!$B$1,$E164))</f>
        <v/>
      </c>
    </row>
    <row r="165">
      <c r="A165" s="14" t="n"/>
      <c r="E165" s="18" t="n"/>
      <c r="F165" s="19">
        <f>IF($E165="","",IF($D165="NZD",$E165*NZ!$B$1,$E165))</f>
        <v/>
      </c>
    </row>
    <row r="166">
      <c r="A166" s="14" t="n"/>
      <c r="E166" s="18" t="n"/>
      <c r="F166" s="19">
        <f>IF($E166="","",IF($D166="NZD",$E166*NZ!$B$1,$E166))</f>
        <v/>
      </c>
    </row>
    <row r="167">
      <c r="A167" s="14" t="n"/>
      <c r="E167" s="18" t="n"/>
      <c r="F167" s="19">
        <f>IF($E167="","",IF($D167="NZD",$E167*NZ!$B$1,$E167))</f>
        <v/>
      </c>
    </row>
    <row r="168">
      <c r="A168" s="14" t="n"/>
      <c r="E168" s="18" t="n"/>
      <c r="F168" s="19">
        <f>IF($E168="","",IF($D168="NZD",$E168*NZ!$B$1,$E168))</f>
        <v/>
      </c>
    </row>
    <row r="169">
      <c r="A169" s="14" t="n"/>
      <c r="E169" s="18" t="n"/>
      <c r="F169" s="19">
        <f>IF($E169="","",IF($D169="NZD",$E169*NZ!$B$1,$E169))</f>
        <v/>
      </c>
    </row>
    <row r="170">
      <c r="A170" s="14" t="n"/>
      <c r="E170" s="18" t="n"/>
      <c r="F170" s="19">
        <f>IF($E170="","",IF($D170="NZD",$E170*NZ!$B$1,$E170))</f>
        <v/>
      </c>
    </row>
    <row r="171">
      <c r="A171" s="14" t="n"/>
      <c r="E171" s="18" t="n"/>
      <c r="F171" s="19">
        <f>IF($E171="","",IF($D171="NZD",$E171*NZ!$B$1,$E171))</f>
        <v/>
      </c>
    </row>
    <row r="172">
      <c r="A172" s="14" t="n"/>
      <c r="E172" s="18" t="n"/>
      <c r="F172" s="19">
        <f>IF($E172="","",IF($D172="NZD",$E172*NZ!$B$1,$E172))</f>
        <v/>
      </c>
    </row>
    <row r="173">
      <c r="A173" s="14" t="n"/>
      <c r="E173" s="18" t="n"/>
      <c r="F173" s="19">
        <f>IF($E173="","",IF($D173="NZD",$E173*NZ!$B$1,$E173))</f>
        <v/>
      </c>
    </row>
    <row r="174">
      <c r="A174" s="14" t="n"/>
      <c r="E174" s="18" t="n"/>
      <c r="F174" s="19">
        <f>IF($E174="","",IF($D174="NZD",$E174*NZ!$B$1,$E174))</f>
        <v/>
      </c>
    </row>
    <row r="175">
      <c r="A175" s="14" t="n"/>
      <c r="E175" s="18" t="n"/>
      <c r="F175" s="19">
        <f>IF($E175="","",IF($D175="NZD",$E175*NZ!$B$1,$E175))</f>
        <v/>
      </c>
    </row>
    <row r="176">
      <c r="A176" s="14" t="n"/>
      <c r="E176" s="18" t="n"/>
      <c r="F176" s="19">
        <f>IF($E176="","",IF($D176="NZD",$E176*NZ!$B$1,$E176))</f>
        <v/>
      </c>
    </row>
    <row r="177">
      <c r="A177" s="14" t="n"/>
      <c r="E177" s="18" t="n"/>
      <c r="F177" s="19">
        <f>IF($E177="","",IF($D177="NZD",$E177*NZ!$B$1,$E177))</f>
        <v/>
      </c>
    </row>
    <row r="178">
      <c r="A178" s="14" t="n"/>
      <c r="E178" s="18" t="n"/>
      <c r="F178" s="19">
        <f>IF($E178="","",IF($D178="NZD",$E178*NZ!$B$1,$E178))</f>
        <v/>
      </c>
    </row>
    <row r="179">
      <c r="A179" s="14" t="n"/>
      <c r="E179" s="18" t="n"/>
      <c r="F179" s="19">
        <f>IF($E179="","",IF($D179="NZD",$E179*NZ!$B$1,$E179))</f>
        <v/>
      </c>
    </row>
    <row r="180">
      <c r="A180" s="14" t="n"/>
      <c r="E180" s="18" t="n"/>
      <c r="F180" s="19">
        <f>IF($E180="","",IF($D180="NZD",$E180*NZ!$B$1,$E180))</f>
        <v/>
      </c>
    </row>
    <row r="181">
      <c r="A181" s="14" t="n"/>
      <c r="E181" s="18" t="n"/>
      <c r="F181" s="19">
        <f>IF($E181="","",IF($D181="NZD",$E181*NZ!$B$1,$E181))</f>
        <v/>
      </c>
    </row>
    <row r="182">
      <c r="A182" s="14" t="n"/>
      <c r="E182" s="18" t="n"/>
      <c r="F182" s="19">
        <f>IF($E182="","",IF($D182="NZD",$E182*NZ!$B$1,$E182))</f>
        <v/>
      </c>
    </row>
    <row r="183">
      <c r="A183" s="14" t="n"/>
      <c r="E183" s="18" t="n"/>
      <c r="F183" s="19">
        <f>IF($E183="","",IF($D183="NZD",$E183*NZ!$B$1,$E183))</f>
        <v/>
      </c>
    </row>
    <row r="184">
      <c r="A184" s="14" t="n"/>
      <c r="E184" s="18" t="n"/>
      <c r="F184" s="19">
        <f>IF($E184="","",IF($D184="NZD",$E184*NZ!$B$1,$E184))</f>
        <v/>
      </c>
    </row>
    <row r="185">
      <c r="A185" s="14" t="n"/>
      <c r="E185" s="18" t="n"/>
      <c r="F185" s="19">
        <f>IF($E185="","",IF($D185="NZD",$E185*NZ!$B$1,$E185))</f>
        <v/>
      </c>
    </row>
    <row r="186">
      <c r="A186" s="14" t="n"/>
      <c r="E186" s="18" t="n"/>
      <c r="F186" s="19">
        <f>IF($E186="","",IF($D186="NZD",$E186*NZ!$B$1,$E186))</f>
        <v/>
      </c>
    </row>
    <row r="187">
      <c r="A187" s="14" t="n"/>
      <c r="E187" s="18" t="n"/>
      <c r="F187" s="19">
        <f>IF($E187="","",IF($D187="NZD",$E187*NZ!$B$1,$E187))</f>
        <v/>
      </c>
    </row>
    <row r="188">
      <c r="A188" s="14" t="n"/>
      <c r="E188" s="18" t="n"/>
      <c r="F188" s="19">
        <f>IF($E188="","",IF($D188="NZD",$E188*NZ!$B$1,$E188))</f>
        <v/>
      </c>
    </row>
    <row r="189">
      <c r="A189" s="14" t="n"/>
      <c r="E189" s="18" t="n"/>
      <c r="F189" s="19">
        <f>IF($E189="","",IF($D189="NZD",$E189*NZ!$B$1,$E189))</f>
        <v/>
      </c>
    </row>
    <row r="190">
      <c r="A190" s="14" t="n"/>
      <c r="E190" s="18" t="n"/>
      <c r="F190" s="19">
        <f>IF($E190="","",IF($D190="NZD",$E190*NZ!$B$1,$E190))</f>
        <v/>
      </c>
    </row>
    <row r="191">
      <c r="A191" s="14" t="n"/>
      <c r="E191" s="18" t="n"/>
      <c r="F191" s="19">
        <f>IF($E191="","",IF($D191="NZD",$E191*NZ!$B$1,$E191))</f>
        <v/>
      </c>
    </row>
    <row r="192">
      <c r="A192" s="14" t="n"/>
      <c r="E192" s="18" t="n"/>
      <c r="F192" s="19">
        <f>IF($E192="","",IF($D192="NZD",$E192*NZ!$B$1,$E192))</f>
        <v/>
      </c>
    </row>
    <row r="193">
      <c r="A193" s="14" t="n"/>
      <c r="E193" s="18" t="n"/>
      <c r="F193" s="19">
        <f>IF($E193="","",IF($D193="NZD",$E193*NZ!$B$1,$E193))</f>
        <v/>
      </c>
    </row>
    <row r="194">
      <c r="A194" s="14" t="n"/>
      <c r="E194" s="18" t="n"/>
      <c r="F194" s="19">
        <f>IF($E194="","",IF($D194="NZD",$E194*NZ!$B$1,$E194))</f>
        <v/>
      </c>
    </row>
    <row r="195">
      <c r="A195" s="14" t="n"/>
      <c r="E195" s="18" t="n"/>
      <c r="F195" s="19">
        <f>IF($E195="","",IF($D195="NZD",$E195*NZ!$B$1,$E195))</f>
        <v/>
      </c>
    </row>
    <row r="196">
      <c r="A196" s="14" t="n"/>
      <c r="E196" s="18" t="n"/>
      <c r="F196" s="19">
        <f>IF($E196="","",IF($D196="NZD",$E196*NZ!$B$1,$E196))</f>
        <v/>
      </c>
    </row>
    <row r="197">
      <c r="A197" s="14" t="n"/>
      <c r="E197" s="18" t="n"/>
      <c r="F197" s="19">
        <f>IF($E197="","",IF($D197="NZD",$E197*NZ!$B$1,$E197))</f>
        <v/>
      </c>
    </row>
    <row r="198">
      <c r="A198" s="14" t="n"/>
      <c r="E198" s="18" t="n"/>
      <c r="F198" s="19">
        <f>IF($E198="","",IF($D198="NZD",$E198*NZ!$B$1,$E198))</f>
        <v/>
      </c>
    </row>
    <row r="199">
      <c r="A199" s="14" t="n"/>
      <c r="E199" s="18" t="n"/>
      <c r="F199" s="19">
        <f>IF($E199="","",IF($D199="NZD",$E199*NZ!$B$1,$E199))</f>
        <v/>
      </c>
    </row>
    <row r="200">
      <c r="A200" s="14" t="n"/>
      <c r="E200" s="18" t="n"/>
      <c r="F200" s="19">
        <f>IF($E200="","",IF($D200="NZD",$E200*NZ!$B$1,$E200))</f>
        <v/>
      </c>
    </row>
    <row r="201">
      <c r="A201" s="14" t="n"/>
      <c r="E201" s="18" t="n"/>
      <c r="F201" s="19">
        <f>IF($E201="","",IF($D201="NZD",$E201*NZ!$B$1,$E201))</f>
        <v/>
      </c>
    </row>
    <row r="202">
      <c r="A202" s="14" t="n"/>
      <c r="E202" s="18" t="n"/>
      <c r="F202" s="19">
        <f>IF($E202="","",IF($D202="NZD",$E202*NZ!$B$1,$E202))</f>
        <v/>
      </c>
    </row>
    <row r="203">
      <c r="A203" s="14" t="n"/>
      <c r="E203" s="18" t="n"/>
      <c r="F203" s="19">
        <f>IF($E203="","",IF($D203="NZD",$E203*NZ!$B$1,$E203))</f>
        <v/>
      </c>
    </row>
    <row r="204">
      <c r="A204" s="14" t="n"/>
      <c r="E204" s="18" t="n"/>
      <c r="F204" s="19">
        <f>IF($E204="","",IF($D204="NZD",$E204*NZ!$B$1,$E204))</f>
        <v/>
      </c>
    </row>
    <row r="205">
      <c r="A205" s="14" t="n"/>
      <c r="E205" s="18" t="n"/>
      <c r="F205" s="19">
        <f>IF($E205="","",IF($D205="NZD",$E205*NZ!$B$1,$E205))</f>
        <v/>
      </c>
    </row>
    <row r="206">
      <c r="A206" s="14" t="n"/>
      <c r="E206" s="18" t="n"/>
      <c r="F206" s="19">
        <f>IF($E206="","",IF($D206="NZD",$E206*NZ!$B$1,$E206))</f>
        <v/>
      </c>
    </row>
    <row r="207">
      <c r="A207" s="14" t="n"/>
      <c r="E207" s="18" t="n"/>
      <c r="F207" s="19">
        <f>IF($E207="","",IF($D207="NZD",$E207*NZ!$B$1,$E207))</f>
        <v/>
      </c>
    </row>
    <row r="208">
      <c r="A208" s="14" t="n"/>
      <c r="E208" s="18" t="n"/>
      <c r="F208" s="19">
        <f>IF($E208="","",IF($D208="NZD",$E208*NZ!$B$1,$E208))</f>
        <v/>
      </c>
    </row>
    <row r="209">
      <c r="A209" s="14" t="n"/>
      <c r="E209" s="18" t="n"/>
      <c r="F209" s="19">
        <f>IF($E209="","",IF($D209="NZD",$E209*NZ!$B$1,$E209))</f>
        <v/>
      </c>
    </row>
    <row r="210">
      <c r="A210" s="14" t="n"/>
      <c r="E210" s="18" t="n"/>
      <c r="F210" s="19">
        <f>IF($E210="","",IF($D210="NZD",$E210*NZ!$B$1,$E210))</f>
        <v/>
      </c>
    </row>
    <row r="211">
      <c r="A211" s="14" t="n"/>
      <c r="E211" s="18" t="n"/>
      <c r="F211" s="19">
        <f>IF($E211="","",IF($D211="NZD",$E211*NZ!$B$1,$E211))</f>
        <v/>
      </c>
    </row>
    <row r="212">
      <c r="A212" s="14" t="n"/>
      <c r="E212" s="18" t="n"/>
      <c r="F212" s="19">
        <f>IF($E212="","",IF($D212="NZD",$E212*NZ!$B$1,$E212))</f>
        <v/>
      </c>
    </row>
    <row r="213">
      <c r="A213" s="14" t="n"/>
      <c r="E213" s="18" t="n"/>
      <c r="F213" s="19">
        <f>IF($E213="","",IF($D213="NZD",$E213*NZ!$B$1,$E213))</f>
        <v/>
      </c>
    </row>
    <row r="214">
      <c r="A214" s="14" t="n"/>
      <c r="E214" s="18" t="n"/>
      <c r="F214" s="19">
        <f>IF($E214="","",IF($D214="NZD",$E214*NZ!$B$1,$E214))</f>
        <v/>
      </c>
    </row>
    <row r="215">
      <c r="A215" s="14" t="n"/>
      <c r="E215" s="18" t="n"/>
      <c r="F215" s="19">
        <f>IF($E215="","",IF($D215="NZD",$E215*NZ!$B$1,$E215))</f>
        <v/>
      </c>
    </row>
    <row r="216">
      <c r="A216" s="14" t="n"/>
      <c r="E216" s="18" t="n"/>
      <c r="F216" s="19">
        <f>IF($E216="","",IF($D216="NZD",$E216*NZ!$B$1,$E216))</f>
        <v/>
      </c>
    </row>
    <row r="217">
      <c r="A217" s="14" t="n"/>
      <c r="E217" s="18" t="n"/>
      <c r="F217" s="19">
        <f>IF($E217="","",IF($D217="NZD",$E217*NZ!$B$1,$E217))</f>
        <v/>
      </c>
    </row>
    <row r="218">
      <c r="A218" s="14" t="n"/>
      <c r="E218" s="18" t="n"/>
      <c r="F218" s="19">
        <f>IF($E218="","",IF($D218="NZD",$E218*NZ!$B$1,$E218))</f>
        <v/>
      </c>
    </row>
    <row r="219">
      <c r="A219" s="14" t="n"/>
      <c r="E219" s="18" t="n"/>
      <c r="F219" s="19">
        <f>IF($E219="","",IF($D219="NZD",$E219*NZ!$B$1,$E219))</f>
        <v/>
      </c>
    </row>
    <row r="220">
      <c r="A220" s="14" t="n"/>
      <c r="E220" s="18" t="n"/>
      <c r="F220" s="19">
        <f>IF($E220="","",IF($D220="NZD",$E220*NZ!$B$1,$E220))</f>
        <v/>
      </c>
    </row>
    <row r="221">
      <c r="A221" s="14" t="n"/>
      <c r="E221" s="18" t="n"/>
      <c r="F221" s="19">
        <f>IF($E221="","",IF($D221="NZD",$E221*NZ!$B$1,$E221))</f>
        <v/>
      </c>
    </row>
    <row r="222">
      <c r="A222" s="14" t="n"/>
      <c r="E222" s="18" t="n"/>
      <c r="F222" s="19">
        <f>IF($E222="","",IF($D222="NZD",$E222*NZ!$B$1,$E222))</f>
        <v/>
      </c>
    </row>
    <row r="223">
      <c r="A223" s="14" t="n"/>
      <c r="E223" s="18" t="n"/>
      <c r="F223" s="19">
        <f>IF($E223="","",IF($D223="NZD",$E223*NZ!$B$1,$E223))</f>
        <v/>
      </c>
    </row>
    <row r="224">
      <c r="A224" s="14" t="n"/>
      <c r="E224" s="18" t="n"/>
      <c r="F224" s="19">
        <f>IF($E224="","",IF($D224="NZD",$E224*NZ!$B$1,$E224))</f>
        <v/>
      </c>
    </row>
    <row r="225">
      <c r="A225" s="14" t="n"/>
      <c r="E225" s="18" t="n"/>
      <c r="F225" s="19">
        <f>IF($E225="","",IF($D225="NZD",$E225*NZ!$B$1,$E225))</f>
        <v/>
      </c>
    </row>
    <row r="226">
      <c r="A226" s="14" t="n"/>
      <c r="E226" s="18" t="n"/>
      <c r="F226" s="19">
        <f>IF($E226="","",IF($D226="NZD",$E226*NZ!$B$1,$E226))</f>
        <v/>
      </c>
    </row>
    <row r="227">
      <c r="A227" s="14" t="n"/>
      <c r="E227" s="18" t="n"/>
      <c r="F227" s="19">
        <f>IF($E227="","",IF($D227="NZD",$E227*NZ!$B$1,$E227))</f>
        <v/>
      </c>
    </row>
    <row r="228">
      <c r="A228" s="14" t="n"/>
      <c r="E228" s="18" t="n"/>
      <c r="F228" s="19">
        <f>IF($E228="","",IF($D228="NZD",$E228*NZ!$B$1,$E228))</f>
        <v/>
      </c>
    </row>
    <row r="229">
      <c r="A229" s="14" t="n"/>
      <c r="E229" s="18" t="n"/>
      <c r="F229" s="19">
        <f>IF($E229="","",IF($D229="NZD",$E229*NZ!$B$1,$E229))</f>
        <v/>
      </c>
    </row>
    <row r="230">
      <c r="A230" s="14" t="n"/>
      <c r="E230" s="18" t="n"/>
      <c r="F230" s="19">
        <f>IF($E230="","",IF($D230="NZD",$E230*NZ!$B$1,$E230))</f>
        <v/>
      </c>
    </row>
    <row r="231">
      <c r="A231" s="14" t="n"/>
      <c r="E231" s="18" t="n"/>
      <c r="F231" s="19">
        <f>IF($E231="","",IF($D231="NZD",$E231*NZ!$B$1,$E231))</f>
        <v/>
      </c>
    </row>
    <row r="232">
      <c r="A232" s="14" t="n"/>
      <c r="E232" s="18" t="n"/>
      <c r="F232" s="19">
        <f>IF($E232="","",IF($D232="NZD",$E232*NZ!$B$1,$E232))</f>
        <v/>
      </c>
    </row>
    <row r="233">
      <c r="A233" s="14" t="n"/>
      <c r="E233" s="18" t="n"/>
      <c r="F233" s="19">
        <f>IF($E233="","",IF($D233="NZD",$E233*NZ!$B$1,$E233))</f>
        <v/>
      </c>
    </row>
    <row r="234">
      <c r="A234" s="14" t="n"/>
      <c r="E234" s="18" t="n"/>
      <c r="F234" s="19">
        <f>IF($E234="","",IF($D234="NZD",$E234*NZ!$B$1,$E234))</f>
        <v/>
      </c>
    </row>
    <row r="235">
      <c r="A235" s="14" t="n"/>
      <c r="E235" s="18" t="n"/>
      <c r="F235" s="19">
        <f>IF($E235="","",IF($D235="NZD",$E235*NZ!$B$1,$E235))</f>
        <v/>
      </c>
    </row>
    <row r="236">
      <c r="A236" s="14" t="n"/>
      <c r="E236" s="18" t="n"/>
      <c r="F236" s="19">
        <f>IF($E236="","",IF($D236="NZD",$E236*NZ!$B$1,$E236))</f>
        <v/>
      </c>
    </row>
    <row r="237">
      <c r="A237" s="14" t="n"/>
      <c r="E237" s="18" t="n"/>
      <c r="F237" s="19">
        <f>IF($E237="","",IF($D237="NZD",$E237*NZ!$B$1,$E237))</f>
        <v/>
      </c>
    </row>
    <row r="238">
      <c r="A238" s="14" t="n"/>
      <c r="E238" s="18" t="n"/>
      <c r="F238" s="19">
        <f>IF($E238="","",IF($D238="NZD",$E238*NZ!$B$1,$E238))</f>
        <v/>
      </c>
    </row>
    <row r="239">
      <c r="A239" s="14" t="n"/>
      <c r="E239" s="18" t="n"/>
      <c r="F239" s="19">
        <f>IF($E239="","",IF($D239="NZD",$E239*NZ!$B$1,$E239))</f>
        <v/>
      </c>
    </row>
    <row r="240">
      <c r="A240" s="14" t="n"/>
      <c r="E240" s="18" t="n"/>
      <c r="F240" s="19">
        <f>IF($E240="","",IF($D240="NZD",$E240*NZ!$B$1,$E240))</f>
        <v/>
      </c>
    </row>
    <row r="241">
      <c r="A241" s="14" t="n"/>
      <c r="E241" s="18" t="n"/>
      <c r="F241" s="19">
        <f>IF($E241="","",IF($D241="NZD",$E241*NZ!$B$1,$E241))</f>
        <v/>
      </c>
    </row>
    <row r="242">
      <c r="A242" s="14" t="n"/>
      <c r="E242" s="18" t="n"/>
      <c r="F242" s="19">
        <f>IF($E242="","",IF($D242="NZD",$E242*NZ!$B$1,$E242))</f>
        <v/>
      </c>
    </row>
    <row r="243">
      <c r="A243" s="14" t="n"/>
      <c r="E243" s="18" t="n"/>
      <c r="F243" s="19">
        <f>IF($E243="","",IF($D243="NZD",$E243*NZ!$B$1,$E243))</f>
        <v/>
      </c>
    </row>
    <row r="244">
      <c r="A244" s="14" t="n"/>
      <c r="E244" s="18" t="n"/>
      <c r="F244" s="19">
        <f>IF($E244="","",IF($D244="NZD",$E244*NZ!$B$1,$E244))</f>
        <v/>
      </c>
    </row>
    <row r="245">
      <c r="A245" s="14" t="n"/>
      <c r="E245" s="18" t="n"/>
      <c r="F245" s="19">
        <f>IF($E245="","",IF($D245="NZD",$E245*NZ!$B$1,$E245))</f>
        <v/>
      </c>
    </row>
    <row r="246">
      <c r="A246" s="14" t="n"/>
      <c r="E246" s="18" t="n"/>
      <c r="F246" s="19">
        <f>IF($E246="","",IF($D246="NZD",$E246*NZ!$B$1,$E246))</f>
        <v/>
      </c>
    </row>
    <row r="247">
      <c r="A247" s="14" t="n"/>
      <c r="E247" s="18" t="n"/>
      <c r="F247" s="19">
        <f>IF($E247="","",IF($D247="NZD",$E247*NZ!$B$1,$E247))</f>
        <v/>
      </c>
    </row>
    <row r="248">
      <c r="A248" s="14" t="n"/>
      <c r="E248" s="18" t="n"/>
      <c r="F248" s="19">
        <f>IF($E248="","",IF($D248="NZD",$E248*NZ!$B$1,$E248))</f>
        <v/>
      </c>
    </row>
    <row r="249">
      <c r="A249" s="14" t="n"/>
      <c r="E249" s="18" t="n"/>
      <c r="F249" s="19">
        <f>IF($E249="","",IF($D249="NZD",$E249*NZ!$B$1,$E249))</f>
        <v/>
      </c>
    </row>
    <row r="250">
      <c r="A250" s="14" t="n"/>
      <c r="E250" s="18" t="n"/>
      <c r="F250" s="19">
        <f>IF($E250="","",IF($D250="NZD",$E250*NZ!$B$1,$E250))</f>
        <v/>
      </c>
    </row>
    <row r="251">
      <c r="A251" s="14" t="n"/>
      <c r="E251" s="18" t="n"/>
      <c r="F251" s="19">
        <f>IF($E251="","",IF($D251="NZD",$E251*NZ!$B$1,$E251))</f>
        <v/>
      </c>
    </row>
    <row r="252">
      <c r="A252" s="14" t="n"/>
      <c r="E252" s="18" t="n"/>
      <c r="F252" s="19">
        <f>IF($E252="","",IF($D252="NZD",$E252*NZ!$B$1,$E252))</f>
        <v/>
      </c>
    </row>
    <row r="253">
      <c r="A253" s="14" t="n"/>
      <c r="E253" s="18" t="n"/>
      <c r="F253" s="19">
        <f>IF($E253="","",IF($D253="NZD",$E253*NZ!$B$1,$E253))</f>
        <v/>
      </c>
    </row>
    <row r="254">
      <c r="A254" s="14" t="n"/>
      <c r="E254" s="18" t="n"/>
      <c r="F254" s="19">
        <f>IF($E254="","",IF($D254="NZD",$E254*NZ!$B$1,$E254))</f>
        <v/>
      </c>
    </row>
    <row r="255">
      <c r="A255" s="14" t="n"/>
      <c r="E255" s="18" t="n"/>
      <c r="F255" s="19">
        <f>IF($E255="","",IF($D255="NZD",$E255*NZ!$B$1,$E255))</f>
        <v/>
      </c>
    </row>
    <row r="256">
      <c r="A256" s="14" t="n"/>
      <c r="E256" s="18" t="n"/>
      <c r="F256" s="19">
        <f>IF($E256="","",IF($D256="NZD",$E256*NZ!$B$1,$E256))</f>
        <v/>
      </c>
    </row>
    <row r="257">
      <c r="A257" s="14" t="n"/>
      <c r="E257" s="18" t="n"/>
      <c r="F257" s="19">
        <f>IF($E257="","",IF($D257="NZD",$E257*NZ!$B$1,$E257))</f>
        <v/>
      </c>
    </row>
    <row r="258">
      <c r="A258" s="14" t="n"/>
      <c r="E258" s="18" t="n"/>
      <c r="F258" s="19">
        <f>IF($E258="","",IF($D258="NZD",$E258*NZ!$B$1,$E258))</f>
        <v/>
      </c>
    </row>
    <row r="259">
      <c r="A259" s="14" t="n"/>
      <c r="E259" s="18" t="n"/>
      <c r="F259" s="19">
        <f>IF($E259="","",IF($D259="NZD",$E259*NZ!$B$1,$E259))</f>
        <v/>
      </c>
    </row>
    <row r="260">
      <c r="A260" s="14" t="n"/>
      <c r="E260" s="18" t="n"/>
      <c r="F260" s="19">
        <f>IF($E260="","",IF($D260="NZD",$E260*NZ!$B$1,$E260))</f>
        <v/>
      </c>
    </row>
    <row r="261">
      <c r="A261" s="14" t="n"/>
      <c r="E261" s="18" t="n"/>
      <c r="F261" s="19">
        <f>IF($E261="","",IF($D261="NZD",$E261*NZ!$B$1,$E261))</f>
        <v/>
      </c>
    </row>
    <row r="262">
      <c r="A262" s="14" t="n"/>
      <c r="E262" s="18" t="n"/>
      <c r="F262" s="19">
        <f>IF($E262="","",IF($D262="NZD",$E262*NZ!$B$1,$E262))</f>
        <v/>
      </c>
    </row>
    <row r="263">
      <c r="A263" s="14" t="n"/>
      <c r="E263" s="18" t="n"/>
      <c r="F263" s="19">
        <f>IF($E263="","",IF($D263="NZD",$E263*NZ!$B$1,$E263))</f>
        <v/>
      </c>
    </row>
    <row r="264">
      <c r="A264" s="14" t="n"/>
      <c r="E264" s="18" t="n"/>
      <c r="F264" s="19">
        <f>IF($E264="","",IF($D264="NZD",$E264*NZ!$B$1,$E264))</f>
        <v/>
      </c>
    </row>
    <row r="265">
      <c r="A265" s="14" t="n"/>
      <c r="E265" s="18" t="n"/>
      <c r="F265" s="19">
        <f>IF($E265="","",IF($D265="NZD",$E265*NZ!$B$1,$E265))</f>
        <v/>
      </c>
    </row>
    <row r="266">
      <c r="A266" s="14" t="n"/>
      <c r="E266" s="18" t="n"/>
      <c r="F266" s="19">
        <f>IF($E266="","",IF($D266="NZD",$E266*NZ!$B$1,$E266))</f>
        <v/>
      </c>
    </row>
    <row r="267">
      <c r="A267" s="14" t="n"/>
      <c r="E267" s="18" t="n"/>
      <c r="F267" s="19">
        <f>IF($E267="","",IF($D267="NZD",$E267*NZ!$B$1,$E267))</f>
        <v/>
      </c>
    </row>
    <row r="268">
      <c r="A268" s="14" t="n"/>
      <c r="E268" s="18" t="n"/>
      <c r="F268" s="19">
        <f>IF($E268="","",IF($D268="NZD",$E268*NZ!$B$1,$E268))</f>
        <v/>
      </c>
    </row>
    <row r="269">
      <c r="A269" s="14" t="n"/>
      <c r="E269" s="18" t="n"/>
      <c r="F269" s="19">
        <f>IF($E269="","",IF($D269="NZD",$E269*NZ!$B$1,$E269))</f>
        <v/>
      </c>
    </row>
    <row r="270">
      <c r="A270" s="14" t="n"/>
      <c r="E270" s="18" t="n"/>
      <c r="F270" s="19">
        <f>IF($E270="","",IF($D270="NZD",$E270*NZ!$B$1,$E270))</f>
        <v/>
      </c>
    </row>
    <row r="271">
      <c r="A271" s="14" t="n"/>
      <c r="E271" s="18" t="n"/>
      <c r="F271" s="19">
        <f>IF($E271="","",IF($D271="NZD",$E271*NZ!$B$1,$E271))</f>
        <v/>
      </c>
    </row>
    <row r="272">
      <c r="A272" s="14" t="n"/>
      <c r="E272" s="18" t="n"/>
      <c r="F272" s="19">
        <f>IF($E272="","",IF($D272="NZD",$E272*NZ!$B$1,$E272))</f>
        <v/>
      </c>
    </row>
    <row r="273">
      <c r="A273" s="14" t="n"/>
      <c r="E273" s="18" t="n"/>
      <c r="F273" s="19">
        <f>IF($E273="","",IF($D273="NZD",$E273*NZ!$B$1,$E273))</f>
        <v/>
      </c>
    </row>
    <row r="274">
      <c r="A274" s="14" t="n"/>
      <c r="E274" s="18" t="n"/>
      <c r="F274" s="19">
        <f>IF($E274="","",IF($D274="NZD",$E274*NZ!$B$1,$E274))</f>
        <v/>
      </c>
    </row>
    <row r="275">
      <c r="A275" s="14" t="n"/>
      <c r="E275" s="18" t="n"/>
      <c r="F275" s="19">
        <f>IF($E275="","",IF($D275="NZD",$E275*NZ!$B$1,$E275))</f>
        <v/>
      </c>
    </row>
    <row r="276">
      <c r="A276" s="14" t="n"/>
      <c r="E276" s="18" t="n"/>
      <c r="F276" s="19">
        <f>IF($E276="","",IF($D276="NZD",$E276*NZ!$B$1,$E276))</f>
        <v/>
      </c>
    </row>
    <row r="277">
      <c r="A277" s="14" t="n"/>
      <c r="E277" s="18" t="n"/>
      <c r="F277" s="19">
        <f>IF($E277="","",IF($D277="NZD",$E277*NZ!$B$1,$E277))</f>
        <v/>
      </c>
    </row>
    <row r="278">
      <c r="A278" s="14" t="n"/>
      <c r="E278" s="18" t="n"/>
      <c r="F278" s="19">
        <f>IF($E278="","",IF($D278="NZD",$E278*NZ!$B$1,$E278))</f>
        <v/>
      </c>
    </row>
    <row r="279">
      <c r="A279" s="14" t="n"/>
      <c r="E279" s="18" t="n"/>
      <c r="F279" s="19">
        <f>IF($E279="","",IF($D279="NZD",$E279*NZ!$B$1,$E279))</f>
        <v/>
      </c>
    </row>
    <row r="280">
      <c r="A280" s="14" t="n"/>
      <c r="E280" s="18" t="n"/>
      <c r="F280" s="19">
        <f>IF($E280="","",IF($D280="NZD",$E280*NZ!$B$1,$E280))</f>
        <v/>
      </c>
    </row>
    <row r="281">
      <c r="A281" s="14" t="n"/>
      <c r="E281" s="18" t="n"/>
      <c r="F281" s="19">
        <f>IF($E281="","",IF($D281="NZD",$E281*NZ!$B$1,$E281))</f>
        <v/>
      </c>
    </row>
    <row r="282">
      <c r="A282" s="14" t="n"/>
      <c r="E282" s="18" t="n"/>
      <c r="F282" s="19">
        <f>IF($E282="","",IF($D282="NZD",$E282*NZ!$B$1,$E282))</f>
        <v/>
      </c>
    </row>
    <row r="283">
      <c r="A283" s="14" t="n"/>
      <c r="E283" s="18" t="n"/>
      <c r="F283" s="19">
        <f>IF($E283="","",IF($D283="NZD",$E283*NZ!$B$1,$E283))</f>
        <v/>
      </c>
    </row>
    <row r="284">
      <c r="A284" s="14" t="n"/>
      <c r="E284" s="18" t="n"/>
      <c r="F284" s="19">
        <f>IF($E284="","",IF($D284="NZD",$E284*NZ!$B$1,$E284))</f>
        <v/>
      </c>
    </row>
    <row r="285">
      <c r="A285" s="14" t="n"/>
      <c r="E285" s="18" t="n"/>
      <c r="F285" s="19">
        <f>IF($E285="","",IF($D285="NZD",$E285*NZ!$B$1,$E285))</f>
        <v/>
      </c>
    </row>
    <row r="286">
      <c r="A286" s="14" t="n"/>
      <c r="E286" s="18" t="n"/>
      <c r="F286" s="19">
        <f>IF($E286="","",IF($D286="NZD",$E286*NZ!$B$1,$E286))</f>
        <v/>
      </c>
    </row>
    <row r="287">
      <c r="A287" s="14" t="n"/>
      <c r="E287" s="18" t="n"/>
      <c r="F287" s="19">
        <f>IF($E287="","",IF($D287="NZD",$E287*NZ!$B$1,$E287))</f>
        <v/>
      </c>
    </row>
    <row r="288">
      <c r="A288" s="14" t="n"/>
      <c r="E288" s="18" t="n"/>
      <c r="F288" s="19">
        <f>IF($E288="","",IF($D288="NZD",$E288*NZ!$B$1,$E288))</f>
        <v/>
      </c>
    </row>
    <row r="289">
      <c r="A289" s="14" t="n"/>
      <c r="E289" s="18" t="n"/>
      <c r="F289" s="19">
        <f>IF($E289="","",IF($D289="NZD",$E289*NZ!$B$1,$E289))</f>
        <v/>
      </c>
    </row>
    <row r="290">
      <c r="A290" s="14" t="n"/>
      <c r="E290" s="18" t="n"/>
      <c r="F290" s="19">
        <f>IF($E290="","",IF($D290="NZD",$E290*NZ!$B$1,$E290))</f>
        <v/>
      </c>
    </row>
    <row r="291">
      <c r="A291" s="14" t="n"/>
      <c r="E291" s="18" t="n"/>
      <c r="F291" s="19">
        <f>IF($E291="","",IF($D291="NZD",$E291*NZ!$B$1,$E291))</f>
        <v/>
      </c>
    </row>
    <row r="292">
      <c r="A292" s="14" t="n"/>
      <c r="E292" s="18" t="n"/>
      <c r="F292" s="19">
        <f>IF($E292="","",IF($D292="NZD",$E292*NZ!$B$1,$E292))</f>
        <v/>
      </c>
    </row>
    <row r="293">
      <c r="A293" s="14" t="n"/>
      <c r="E293" s="18" t="n"/>
      <c r="F293" s="19">
        <f>IF($E293="","",IF($D293="NZD",$E293*NZ!$B$1,$E293))</f>
        <v/>
      </c>
    </row>
    <row r="294">
      <c r="A294" s="14" t="n"/>
      <c r="E294" s="18" t="n"/>
      <c r="F294" s="19">
        <f>IF($E294="","",IF($D294="NZD",$E294*NZ!$B$1,$E294))</f>
        <v/>
      </c>
    </row>
    <row r="295">
      <c r="A295" s="14" t="n"/>
      <c r="E295" s="18" t="n"/>
      <c r="F295" s="19">
        <f>IF($E295="","",IF($D295="NZD",$E295*NZ!$B$1,$E295))</f>
        <v/>
      </c>
    </row>
    <row r="296">
      <c r="A296" s="14" t="n"/>
      <c r="E296" s="18" t="n"/>
      <c r="F296" s="19">
        <f>IF($E296="","",IF($D296="NZD",$E296*NZ!$B$1,$E296))</f>
        <v/>
      </c>
    </row>
    <row r="297">
      <c r="A297" s="14" t="n"/>
      <c r="E297" s="18" t="n"/>
      <c r="F297" s="19">
        <f>IF($E297="","",IF($D297="NZD",$E297*NZ!$B$1,$E297))</f>
        <v/>
      </c>
    </row>
    <row r="298">
      <c r="A298" s="14" t="n"/>
      <c r="E298" s="18" t="n"/>
      <c r="F298" s="19">
        <f>IF($E298="","",IF($D298="NZD",$E298*NZ!$B$1,$E298))</f>
        <v/>
      </c>
    </row>
    <row r="299">
      <c r="A299" s="14" t="n"/>
      <c r="E299" s="18" t="n"/>
      <c r="F299" s="19">
        <f>IF($E299="","",IF($D299="NZD",$E299*NZ!$B$1,$E299))</f>
        <v/>
      </c>
    </row>
    <row r="300">
      <c r="A300" s="14" t="n"/>
      <c r="E300" s="18" t="n"/>
      <c r="F300" s="19">
        <f>IF($E300="","",IF($D300="NZD",$E300*NZ!$B$1,$E300))</f>
        <v/>
      </c>
    </row>
    <row r="301">
      <c r="A301" s="14" t="n"/>
      <c r="E301" s="18" t="n"/>
      <c r="F301" s="19">
        <f>IF($E301="","",IF($D301="NZD",$E301*NZ!$B$1,$E301))</f>
        <v/>
      </c>
    </row>
    <row r="302">
      <c r="A302" s="14" t="n"/>
      <c r="E302" s="18" t="n"/>
      <c r="F302" s="19">
        <f>IF($E302="","",IF($D302="NZD",$E302*NZ!$B$1,$E302))</f>
        <v/>
      </c>
    </row>
    <row r="303">
      <c r="A303" s="14" t="n"/>
      <c r="E303" s="18" t="n"/>
      <c r="F303" s="19">
        <f>IF($E303="","",IF($D303="NZD",$E303*NZ!$B$1,$E303))</f>
        <v/>
      </c>
    </row>
    <row r="304">
      <c r="A304" s="14" t="n"/>
      <c r="E304" s="18" t="n"/>
      <c r="F304" s="19">
        <f>IF($E304="","",IF($D304="NZD",$E304*NZ!$B$1,$E304))</f>
        <v/>
      </c>
    </row>
    <row r="305">
      <c r="A305" s="14" t="n"/>
      <c r="E305" s="18" t="n"/>
      <c r="F305" s="19">
        <f>IF($E305="","",IF($D305="NZD",$E305*NZ!$B$1,$E305))</f>
        <v/>
      </c>
    </row>
    <row r="306">
      <c r="A306" s="14" t="n"/>
      <c r="E306" s="18" t="n"/>
      <c r="F306" s="19">
        <f>IF($E306="","",IF($D306="NZD",$E306*NZ!$B$1,$E306))</f>
        <v/>
      </c>
    </row>
    <row r="307">
      <c r="A307" s="14" t="n"/>
      <c r="E307" s="18" t="n"/>
      <c r="F307" s="19">
        <f>IF($E307="","",IF($D307="NZD",$E307*NZ!$B$1,$E307))</f>
        <v/>
      </c>
    </row>
    <row r="308">
      <c r="A308" s="14" t="n"/>
      <c r="E308" s="18" t="n"/>
      <c r="F308" s="19">
        <f>IF($E308="","",IF($D308="NZD",$E308*NZ!$B$1,$E308))</f>
        <v/>
      </c>
    </row>
    <row r="309">
      <c r="A309" s="14" t="n"/>
      <c r="E309" s="18" t="n"/>
      <c r="F309" s="19">
        <f>IF($E309="","",IF($D309="NZD",$E309*NZ!$B$1,$E309))</f>
        <v/>
      </c>
    </row>
    <row r="310">
      <c r="A310" s="14" t="n"/>
      <c r="E310" s="18" t="n"/>
      <c r="F310" s="19">
        <f>IF($E310="","",IF($D310="NZD",$E310*NZ!$B$1,$E310))</f>
        <v/>
      </c>
    </row>
    <row r="311">
      <c r="A311" s="14" t="n"/>
      <c r="E311" s="18" t="n"/>
      <c r="F311" s="19">
        <f>IF($E311="","",IF($D311="NZD",$E311*NZ!$B$1,$E311))</f>
        <v/>
      </c>
    </row>
    <row r="312">
      <c r="A312" s="14" t="n"/>
      <c r="E312" s="18" t="n"/>
      <c r="F312" s="19">
        <f>IF($E312="","",IF($D312="NZD",$E312*NZ!$B$1,$E312))</f>
        <v/>
      </c>
    </row>
    <row r="313">
      <c r="A313" s="14" t="n"/>
      <c r="E313" s="18" t="n"/>
      <c r="F313" s="19">
        <f>IF($E313="","",IF($D313="NZD",$E313*NZ!$B$1,$E313))</f>
        <v/>
      </c>
    </row>
    <row r="314">
      <c r="A314" s="14" t="n"/>
      <c r="E314" s="18" t="n"/>
      <c r="F314" s="19">
        <f>IF($E314="","",IF($D314="NZD",$E314*NZ!$B$1,$E314))</f>
        <v/>
      </c>
    </row>
    <row r="315">
      <c r="A315" s="14" t="n"/>
      <c r="E315" s="18" t="n"/>
      <c r="F315" s="19">
        <f>IF($E315="","",IF($D315="NZD",$E315*NZ!$B$1,$E315))</f>
        <v/>
      </c>
    </row>
    <row r="316">
      <c r="A316" s="14" t="n"/>
      <c r="E316" s="18" t="n"/>
      <c r="F316" s="19">
        <f>IF($E316="","",IF($D316="NZD",$E316*NZ!$B$1,$E316))</f>
        <v/>
      </c>
    </row>
    <row r="317">
      <c r="A317" s="14" t="n"/>
      <c r="E317" s="18" t="n"/>
      <c r="F317" s="19">
        <f>IF($E317="","",IF($D317="NZD",$E317*NZ!$B$1,$E317))</f>
        <v/>
      </c>
    </row>
    <row r="318">
      <c r="A318" s="14" t="n"/>
      <c r="E318" s="18" t="n"/>
      <c r="F318" s="19">
        <f>IF($E318="","",IF($D318="NZD",$E318*NZ!$B$1,$E318))</f>
        <v/>
      </c>
    </row>
    <row r="319">
      <c r="A319" s="14" t="n"/>
      <c r="E319" s="18" t="n"/>
      <c r="F319" s="19">
        <f>IF($E319="","",IF($D319="NZD",$E319*NZ!$B$1,$E319))</f>
        <v/>
      </c>
    </row>
    <row r="320">
      <c r="A320" s="14" t="n"/>
      <c r="E320" s="18" t="n"/>
      <c r="F320" s="19">
        <f>IF($E320="","",IF($D320="NZD",$E320*NZ!$B$1,$E320))</f>
        <v/>
      </c>
    </row>
    <row r="321">
      <c r="A321" s="14" t="n"/>
      <c r="E321" s="18" t="n"/>
      <c r="F321" s="19">
        <f>IF($E321="","",IF($D321="NZD",$E321*NZ!$B$1,$E321))</f>
        <v/>
      </c>
    </row>
    <row r="322">
      <c r="A322" s="14" t="n"/>
      <c r="E322" s="18" t="n"/>
      <c r="F322" s="19">
        <f>IF($E322="","",IF($D322="NZD",$E322*NZ!$B$1,$E322))</f>
        <v/>
      </c>
    </row>
    <row r="323">
      <c r="A323" s="14" t="n"/>
      <c r="E323" s="18" t="n"/>
      <c r="F323" s="19">
        <f>IF($E323="","",IF($D323="NZD",$E323*NZ!$B$1,$E323))</f>
        <v/>
      </c>
    </row>
    <row r="324">
      <c r="A324" s="14" t="n"/>
      <c r="E324" s="18" t="n"/>
      <c r="F324" s="19">
        <f>IF($E324="","",IF($D324="NZD",$E324*NZ!$B$1,$E324))</f>
        <v/>
      </c>
    </row>
    <row r="325">
      <c r="A325" s="14" t="n"/>
      <c r="E325" s="18" t="n"/>
      <c r="F325" s="19">
        <f>IF($E325="","",IF($D325="NZD",$E325*NZ!$B$1,$E325))</f>
        <v/>
      </c>
    </row>
    <row r="326">
      <c r="A326" s="14" t="n"/>
      <c r="E326" s="18" t="n"/>
      <c r="F326" s="19">
        <f>IF($E326="","",IF($D326="NZD",$E326*NZ!$B$1,$E326))</f>
        <v/>
      </c>
    </row>
    <row r="327">
      <c r="A327" s="14" t="n"/>
      <c r="E327" s="18" t="n"/>
      <c r="F327" s="19">
        <f>IF($E327="","",IF($D327="NZD",$E327*NZ!$B$1,$E327))</f>
        <v/>
      </c>
    </row>
    <row r="328">
      <c r="A328" s="14" t="n"/>
      <c r="E328" s="18" t="n"/>
      <c r="F328" s="19">
        <f>IF($E328="","",IF($D328="NZD",$E328*NZ!$B$1,$E328))</f>
        <v/>
      </c>
    </row>
    <row r="329">
      <c r="A329" s="14" t="n"/>
      <c r="E329" s="18" t="n"/>
      <c r="F329" s="19">
        <f>IF($E329="","",IF($D329="NZD",$E329*NZ!$B$1,$E329))</f>
        <v/>
      </c>
    </row>
    <row r="330">
      <c r="A330" s="14" t="n"/>
      <c r="E330" s="18" t="n"/>
      <c r="F330" s="19">
        <f>IF($E330="","",IF($D330="NZD",$E330*NZ!$B$1,$E330))</f>
        <v/>
      </c>
    </row>
    <row r="331">
      <c r="A331" s="14" t="n"/>
      <c r="E331" s="18" t="n"/>
      <c r="F331" s="19">
        <f>IF($E331="","",IF($D331="NZD",$E331*NZ!$B$1,$E331))</f>
        <v/>
      </c>
    </row>
    <row r="332">
      <c r="A332" s="14" t="n"/>
      <c r="E332" s="18" t="n"/>
      <c r="F332" s="19">
        <f>IF($E332="","",IF($D332="NZD",$E332*NZ!$B$1,$E332))</f>
        <v/>
      </c>
    </row>
    <row r="333">
      <c r="A333" s="14" t="n"/>
      <c r="E333" s="18" t="n"/>
      <c r="F333" s="19">
        <f>IF($E333="","",IF($D333="NZD",$E333*NZ!$B$1,$E333))</f>
        <v/>
      </c>
    </row>
    <row r="334">
      <c r="A334" s="14" t="n"/>
      <c r="E334" s="18" t="n"/>
      <c r="F334" s="19">
        <f>IF($E334="","",IF($D334="NZD",$E334*NZ!$B$1,$E334))</f>
        <v/>
      </c>
    </row>
    <row r="335">
      <c r="A335" s="14" t="n"/>
      <c r="E335" s="18" t="n"/>
      <c r="F335" s="19">
        <f>IF($E335="","",IF($D335="NZD",$E335*NZ!$B$1,$E335))</f>
        <v/>
      </c>
    </row>
    <row r="336">
      <c r="A336" s="14" t="n"/>
      <c r="E336" s="18" t="n"/>
      <c r="F336" s="19">
        <f>IF($E336="","",IF($D336="NZD",$E336*NZ!$B$1,$E336))</f>
        <v/>
      </c>
    </row>
    <row r="337">
      <c r="A337" s="14" t="n"/>
      <c r="E337" s="18" t="n"/>
      <c r="F337" s="19">
        <f>IF($E337="","",IF($D337="NZD",$E337*NZ!$B$1,$E337))</f>
        <v/>
      </c>
    </row>
    <row r="338">
      <c r="A338" s="14" t="n"/>
      <c r="E338" s="18" t="n"/>
      <c r="F338" s="19">
        <f>IF($E338="","",IF($D338="NZD",$E338*NZ!$B$1,$E338))</f>
        <v/>
      </c>
    </row>
    <row r="339">
      <c r="A339" s="14" t="n"/>
      <c r="E339" s="18" t="n"/>
      <c r="F339" s="19">
        <f>IF($E339="","",IF($D339="NZD",$E339*NZ!$B$1,$E339))</f>
        <v/>
      </c>
    </row>
    <row r="340">
      <c r="A340" s="14" t="n"/>
      <c r="E340" s="18" t="n"/>
      <c r="F340" s="19">
        <f>IF($E340="","",IF($D340="NZD",$E340*NZ!$B$1,$E340))</f>
        <v/>
      </c>
    </row>
    <row r="341">
      <c r="A341" s="14" t="n"/>
      <c r="E341" s="18" t="n"/>
      <c r="F341" s="19">
        <f>IF($E341="","",IF($D341="NZD",$E341*NZ!$B$1,$E341))</f>
        <v/>
      </c>
    </row>
    <row r="342">
      <c r="A342" s="14" t="n"/>
      <c r="E342" s="18" t="n"/>
      <c r="F342" s="19">
        <f>IF($E342="","",IF($D342="NZD",$E342*NZ!$B$1,$E342))</f>
        <v/>
      </c>
    </row>
    <row r="343">
      <c r="A343" s="14" t="n"/>
      <c r="E343" s="18" t="n"/>
      <c r="F343" s="19">
        <f>IF($E343="","",IF($D343="NZD",$E343*NZ!$B$1,$E343))</f>
        <v/>
      </c>
    </row>
    <row r="344">
      <c r="A344" s="14" t="n"/>
      <c r="E344" s="18" t="n"/>
      <c r="F344" s="19">
        <f>IF($E344="","",IF($D344="NZD",$E344*NZ!$B$1,$E344))</f>
        <v/>
      </c>
    </row>
    <row r="345">
      <c r="A345" s="14" t="n"/>
      <c r="E345" s="18" t="n"/>
      <c r="F345" s="19">
        <f>IF($E345="","",IF($D345="NZD",$E345*NZ!$B$1,$E345))</f>
        <v/>
      </c>
    </row>
    <row r="346">
      <c r="A346" s="14" t="n"/>
      <c r="E346" s="18" t="n"/>
      <c r="F346" s="19">
        <f>IF($E346="","",IF($D346="NZD",$E346*NZ!$B$1,$E346))</f>
        <v/>
      </c>
    </row>
    <row r="347">
      <c r="A347" s="14" t="n"/>
      <c r="E347" s="18" t="n"/>
      <c r="F347" s="19">
        <f>IF($E347="","",IF($D347="NZD",$E347*NZ!$B$1,$E347))</f>
        <v/>
      </c>
    </row>
    <row r="348">
      <c r="A348" s="14" t="n"/>
      <c r="E348" s="18" t="n"/>
      <c r="F348" s="19">
        <f>IF($E348="","",IF($D348="NZD",$E348*NZ!$B$1,$E348))</f>
        <v/>
      </c>
    </row>
    <row r="349">
      <c r="A349" s="14" t="n"/>
      <c r="E349" s="18" t="n"/>
      <c r="F349" s="19">
        <f>IF($E349="","",IF($D349="NZD",$E349*NZ!$B$1,$E349))</f>
        <v/>
      </c>
    </row>
    <row r="350">
      <c r="A350" s="14" t="n"/>
      <c r="E350" s="18" t="n"/>
      <c r="F350" s="19">
        <f>IF($E350="","",IF($D350="NZD",$E350*NZ!$B$1,$E350))</f>
        <v/>
      </c>
    </row>
    <row r="351">
      <c r="A351" s="14" t="n"/>
      <c r="E351" s="18" t="n"/>
      <c r="F351" s="19">
        <f>IF($E351="","",IF($D351="NZD",$E351*NZ!$B$1,$E351))</f>
        <v/>
      </c>
    </row>
    <row r="352">
      <c r="A352" s="14" t="n"/>
      <c r="E352" s="18" t="n"/>
      <c r="F352" s="19">
        <f>IF($E352="","",IF($D352="NZD",$E352*NZ!$B$1,$E352))</f>
        <v/>
      </c>
    </row>
    <row r="353">
      <c r="A353" s="14" t="n"/>
      <c r="E353" s="18" t="n"/>
      <c r="F353" s="19">
        <f>IF($E353="","",IF($D353="NZD",$E353*NZ!$B$1,$E353))</f>
        <v/>
      </c>
    </row>
    <row r="354">
      <c r="A354" s="14" t="n"/>
      <c r="E354" s="18" t="n"/>
      <c r="F354" s="19">
        <f>IF($E354="","",IF($D354="NZD",$E354*NZ!$B$1,$E354))</f>
        <v/>
      </c>
    </row>
    <row r="355">
      <c r="A355" s="14" t="n"/>
      <c r="E355" s="18" t="n"/>
      <c r="F355" s="19">
        <f>IF($E355="","",IF($D355="NZD",$E355*NZ!$B$1,$E355))</f>
        <v/>
      </c>
    </row>
    <row r="356">
      <c r="A356" s="14" t="n"/>
      <c r="E356" s="18" t="n"/>
      <c r="F356" s="19">
        <f>IF($E356="","",IF($D356="NZD",$E356*NZ!$B$1,$E356))</f>
        <v/>
      </c>
    </row>
    <row r="357">
      <c r="A357" s="14" t="n"/>
      <c r="E357" s="18" t="n"/>
      <c r="F357" s="19">
        <f>IF($E357="","",IF($D357="NZD",$E357*NZ!$B$1,$E357))</f>
        <v/>
      </c>
    </row>
    <row r="358">
      <c r="A358" s="14" t="n"/>
      <c r="E358" s="18" t="n"/>
      <c r="F358" s="19">
        <f>IF($E358="","",IF($D358="NZD",$E358*NZ!$B$1,$E358))</f>
        <v/>
      </c>
    </row>
    <row r="359">
      <c r="A359" s="14" t="n"/>
      <c r="E359" s="18" t="n"/>
      <c r="F359" s="19">
        <f>IF($E359="","",IF($D359="NZD",$E359*NZ!$B$1,$E359))</f>
        <v/>
      </c>
    </row>
    <row r="360">
      <c r="A360" s="14" t="n"/>
      <c r="E360" s="18" t="n"/>
      <c r="F360" s="19">
        <f>IF($E360="","",IF($D360="NZD",$E360*NZ!$B$1,$E360))</f>
        <v/>
      </c>
    </row>
    <row r="361">
      <c r="A361" s="14" t="n"/>
      <c r="E361" s="18" t="n"/>
      <c r="F361" s="19">
        <f>IF($E361="","",IF($D361="NZD",$E361*NZ!$B$1,$E361))</f>
        <v/>
      </c>
    </row>
    <row r="362">
      <c r="A362" s="14" t="n"/>
      <c r="E362" s="18" t="n"/>
      <c r="F362" s="19">
        <f>IF($E362="","",IF($D362="NZD",$E362*NZ!$B$1,$E362))</f>
        <v/>
      </c>
    </row>
    <row r="363">
      <c r="A363" s="14" t="n"/>
      <c r="E363" s="18" t="n"/>
      <c r="F363" s="19">
        <f>IF($E363="","",IF($D363="NZD",$E363*NZ!$B$1,$E363))</f>
        <v/>
      </c>
    </row>
    <row r="364">
      <c r="A364" s="14" t="n"/>
      <c r="E364" s="18" t="n"/>
      <c r="F364" s="19">
        <f>IF($E364="","",IF($D364="NZD",$E364*NZ!$B$1,$E364))</f>
        <v/>
      </c>
    </row>
    <row r="365">
      <c r="A365" s="14" t="n"/>
      <c r="E365" s="18" t="n"/>
      <c r="F365" s="19">
        <f>IF($E365="","",IF($D365="NZD",$E365*NZ!$B$1,$E365))</f>
        <v/>
      </c>
    </row>
    <row r="366">
      <c r="A366" s="14" t="n"/>
      <c r="E366" s="18" t="n"/>
      <c r="F366" s="19">
        <f>IF($E366="","",IF($D366="NZD",$E366*NZ!$B$1,$E366))</f>
        <v/>
      </c>
    </row>
    <row r="367">
      <c r="A367" s="14" t="n"/>
      <c r="E367" s="18" t="n"/>
      <c r="F367" s="19">
        <f>IF($E367="","",IF($D367="NZD",$E367*NZ!$B$1,$E367))</f>
        <v/>
      </c>
    </row>
    <row r="368">
      <c r="A368" s="14" t="n"/>
      <c r="E368" s="18" t="n"/>
      <c r="F368" s="19">
        <f>IF($E368="","",IF($D368="NZD",$E368*NZ!$B$1,$E368))</f>
        <v/>
      </c>
    </row>
    <row r="369">
      <c r="A369" s="14" t="n"/>
      <c r="E369" s="18" t="n"/>
      <c r="F369" s="19">
        <f>IF($E369="","",IF($D369="NZD",$E369*NZ!$B$1,$E369))</f>
        <v/>
      </c>
    </row>
    <row r="370">
      <c r="A370" s="14" t="n"/>
      <c r="E370" s="18" t="n"/>
      <c r="F370" s="19">
        <f>IF($E370="","",IF($D370="NZD",$E370*NZ!$B$1,$E370))</f>
        <v/>
      </c>
    </row>
    <row r="371">
      <c r="A371" s="14" t="n"/>
      <c r="E371" s="18" t="n"/>
      <c r="F371" s="19">
        <f>IF($E371="","",IF($D371="NZD",$E371*NZ!$B$1,$E371))</f>
        <v/>
      </c>
    </row>
    <row r="372">
      <c r="A372" s="14" t="n"/>
      <c r="E372" s="18" t="n"/>
      <c r="F372" s="19">
        <f>IF($E372="","",IF($D372="NZD",$E372*NZ!$B$1,$E372))</f>
        <v/>
      </c>
    </row>
    <row r="373">
      <c r="A373" s="14" t="n"/>
      <c r="E373" s="18" t="n"/>
      <c r="F373" s="19">
        <f>IF($E373="","",IF($D373="NZD",$E373*NZ!$B$1,$E373))</f>
        <v/>
      </c>
    </row>
    <row r="374">
      <c r="A374" s="14" t="n"/>
      <c r="E374" s="18" t="n"/>
      <c r="F374" s="19">
        <f>IF($E374="","",IF($D374="NZD",$E374*NZ!$B$1,$E374))</f>
        <v/>
      </c>
    </row>
    <row r="375">
      <c r="A375" s="14" t="n"/>
      <c r="E375" s="18" t="n"/>
      <c r="F375" s="19">
        <f>IF($E375="","",IF($D375="NZD",$E375*NZ!$B$1,$E375))</f>
        <v/>
      </c>
    </row>
    <row r="376">
      <c r="A376" s="14" t="n"/>
      <c r="E376" s="18" t="n"/>
      <c r="F376" s="19">
        <f>IF($E376="","",IF($D376="NZD",$E376*NZ!$B$1,$E376))</f>
        <v/>
      </c>
    </row>
    <row r="377">
      <c r="A377" s="14" t="n"/>
      <c r="E377" s="18" t="n"/>
      <c r="F377" s="19">
        <f>IF($E377="","",IF($D377="NZD",$E377*NZ!$B$1,$E377))</f>
        <v/>
      </c>
    </row>
    <row r="378">
      <c r="A378" s="14" t="n"/>
      <c r="E378" s="18" t="n"/>
      <c r="F378" s="19">
        <f>IF($E378="","",IF($D378="NZD",$E378*NZ!$B$1,$E378))</f>
        <v/>
      </c>
    </row>
    <row r="379">
      <c r="A379" s="14" t="n"/>
      <c r="E379" s="18" t="n"/>
      <c r="F379" s="19">
        <f>IF($E379="","",IF($D379="NZD",$E379*NZ!$B$1,$E379))</f>
        <v/>
      </c>
    </row>
    <row r="380">
      <c r="A380" s="14" t="n"/>
      <c r="E380" s="18" t="n"/>
      <c r="F380" s="19">
        <f>IF($E380="","",IF($D380="NZD",$E380*NZ!$B$1,$E380))</f>
        <v/>
      </c>
    </row>
    <row r="381">
      <c r="A381" s="14" t="n"/>
      <c r="E381" s="18" t="n"/>
      <c r="F381" s="19">
        <f>IF($E381="","",IF($D381="NZD",$E381*NZ!$B$1,$E381))</f>
        <v/>
      </c>
    </row>
    <row r="382">
      <c r="A382" s="14" t="n"/>
      <c r="E382" s="18" t="n"/>
      <c r="F382" s="19">
        <f>IF($E382="","",IF($D382="NZD",$E382*NZ!$B$1,$E382))</f>
        <v/>
      </c>
    </row>
    <row r="383">
      <c r="A383" s="14" t="n"/>
      <c r="E383" s="18" t="n"/>
      <c r="F383" s="19">
        <f>IF($E383="","",IF($D383="NZD",$E383*NZ!$B$1,$E383))</f>
        <v/>
      </c>
    </row>
    <row r="384">
      <c r="A384" s="14" t="n"/>
      <c r="E384" s="18" t="n"/>
      <c r="F384" s="19">
        <f>IF($E384="","",IF($D384="NZD",$E384*NZ!$B$1,$E384))</f>
        <v/>
      </c>
    </row>
    <row r="385">
      <c r="A385" s="14" t="n"/>
      <c r="E385" s="18" t="n"/>
      <c r="F385" s="19">
        <f>IF($E385="","",IF($D385="NZD",$E385*NZ!$B$1,$E385))</f>
        <v/>
      </c>
    </row>
    <row r="386">
      <c r="A386" s="14" t="n"/>
      <c r="E386" s="18" t="n"/>
      <c r="F386" s="19">
        <f>IF($E386="","",IF($D386="NZD",$E386*NZ!$B$1,$E386))</f>
        <v/>
      </c>
    </row>
    <row r="387">
      <c r="A387" s="14" t="n"/>
      <c r="E387" s="18" t="n"/>
      <c r="F387" s="19">
        <f>IF($E387="","",IF($D387="NZD",$E387*NZ!$B$1,$E387))</f>
        <v/>
      </c>
    </row>
    <row r="388">
      <c r="A388" s="14" t="n"/>
      <c r="E388" s="18" t="n"/>
      <c r="F388" s="19">
        <f>IF($E388="","",IF($D388="NZD",$E388*NZ!$B$1,$E388))</f>
        <v/>
      </c>
    </row>
    <row r="389">
      <c r="A389" s="14" t="n"/>
      <c r="E389" s="18" t="n"/>
      <c r="F389" s="19">
        <f>IF($E389="","",IF($D389="NZD",$E389*NZ!$B$1,$E389))</f>
        <v/>
      </c>
    </row>
    <row r="390">
      <c r="A390" s="14" t="n"/>
      <c r="E390" s="18" t="n"/>
      <c r="F390" s="19">
        <f>IF($E390="","",IF($D390="NZD",$E390*NZ!$B$1,$E390))</f>
        <v/>
      </c>
    </row>
    <row r="391">
      <c r="A391" s="14" t="n"/>
      <c r="E391" s="18" t="n"/>
      <c r="F391" s="19">
        <f>IF($E391="","",IF($D391="NZD",$E391*NZ!$B$1,$E391))</f>
        <v/>
      </c>
    </row>
    <row r="392">
      <c r="A392" s="14" t="n"/>
      <c r="E392" s="18" t="n"/>
      <c r="F392" s="19">
        <f>IF($E392="","",IF($D392="NZD",$E392*NZ!$B$1,$E392))</f>
        <v/>
      </c>
    </row>
    <row r="393">
      <c r="A393" s="14" t="n"/>
      <c r="E393" s="18" t="n"/>
      <c r="F393" s="19">
        <f>IF($E393="","",IF($D393="NZD",$E393*NZ!$B$1,$E393))</f>
        <v/>
      </c>
    </row>
    <row r="394">
      <c r="A394" s="14" t="n"/>
      <c r="E394" s="18" t="n"/>
      <c r="F394" s="19">
        <f>IF($E394="","",IF($D394="NZD",$E394*NZ!$B$1,$E394))</f>
        <v/>
      </c>
    </row>
    <row r="395">
      <c r="A395" s="14" t="n"/>
      <c r="E395" s="18" t="n"/>
      <c r="F395" s="19">
        <f>IF($E395="","",IF($D395="NZD",$E395*NZ!$B$1,$E395))</f>
        <v/>
      </c>
    </row>
    <row r="396">
      <c r="A396" s="14" t="n"/>
      <c r="E396" s="18" t="n"/>
      <c r="F396" s="19">
        <f>IF($E396="","",IF($D396="NZD",$E396*NZ!$B$1,$E396))</f>
        <v/>
      </c>
    </row>
    <row r="397">
      <c r="A397" s="14" t="n"/>
      <c r="E397" s="18" t="n"/>
      <c r="F397" s="19">
        <f>IF($E397="","",IF($D397="NZD",$E397*NZ!$B$1,$E397))</f>
        <v/>
      </c>
    </row>
    <row r="398">
      <c r="A398" s="14" t="n"/>
      <c r="E398" s="18" t="n"/>
      <c r="F398" s="19">
        <f>IF($E398="","",IF($D398="NZD",$E398*NZ!$B$1,$E398))</f>
        <v/>
      </c>
    </row>
    <row r="399">
      <c r="A399" s="14" t="n"/>
      <c r="E399" s="18" t="n"/>
      <c r="F399" s="19">
        <f>IF($E399="","",IF($D399="NZD",$E399*NZ!$B$1,$E399))</f>
        <v/>
      </c>
    </row>
    <row r="400">
      <c r="A400" s="14" t="n"/>
      <c r="E400" s="18" t="n"/>
      <c r="F400" s="19">
        <f>IF($E400="","",IF($D400="NZD",$E400*NZ!$B$1,$E400))</f>
        <v/>
      </c>
    </row>
    <row r="401">
      <c r="A401" s="14" t="n"/>
      <c r="E401" s="18" t="n"/>
      <c r="F401" s="19">
        <f>IF($E401="","",IF($D401="NZD",$E401*NZ!$B$1,$E401))</f>
        <v/>
      </c>
    </row>
    <row r="403">
      <c r="A403" s="11" t="inlineStr">
        <is>
          <t>Una fila entra acá SOLO cuando la plata ya se ve dentro de la app que recibe.</t>
        </is>
      </c>
    </row>
    <row r="404">
      <c r="A404" s="11" t="inlineStr">
        <is>
          <t>Un pantallazo de «enviado» no es un pago: mientras tanto el número sigue APARTADO y puede vencerse.</t>
        </is>
      </c>
    </row>
    <row r="405">
      <c r="A405" s="11" t="inlineStr">
        <is>
          <t>La columna MONTO_COP (gris) es fórmula: convierte los NZD con la tasa de NZ!B1. No se escribe a mano.</t>
        </is>
      </c>
    </row>
  </sheetData>
  <dataValidations count="3">
    <dataValidation sqref="D2:D401" showDropDown="0" showInputMessage="0" showErrorMessage="0" allowBlank="1" type="list">
      <formula1>"COP,NZD"</formula1>
    </dataValidation>
    <dataValidation sqref="G2:G401" showDropDown="0" showInputMessage="0" showErrorMessage="0" allowBlank="1" type="list">
      <formula1>"BRE-B,EFECTIVO,TIENDA,NZ"</formula1>
    </dataValidation>
    <dataValidation sqref="I2:I401" showDropDown="0" showInputMessage="0" showErrorMessage="0" allowBlank="1" type="list">
      <formula1>"SANTIAGO,SOFIA"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6F50"/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6" customWidth="1" min="4" max="4"/>
    <col width="40" customWidth="1" min="5" max="5"/>
    <col width="11" customWidth="1" min="6" max="6"/>
    <col width="12" customWidth="1" min="7" max="7"/>
    <col width="13" customWidth="1" min="8" max="8"/>
    <col width="11" customWidth="1" min="9" max="9"/>
  </cols>
  <sheetData>
    <row r="1" ht="24" customHeight="1">
      <c r="A1" s="12" t="inlineStr">
        <is>
          <t>CODIGO</t>
        </is>
      </c>
      <c r="B1" s="12" t="inlineStr">
        <is>
          <t>NOMBRE</t>
        </is>
      </c>
      <c r="C1" s="12" t="inlineStr">
        <is>
          <t>TIPO</t>
        </is>
      </c>
      <c r="D1" s="12" t="inlineStr">
        <is>
          <t>WHATSAPP</t>
        </is>
      </c>
      <c r="E1" s="12" t="inlineStr">
        <is>
          <t>LINK</t>
        </is>
      </c>
      <c r="F1" s="12" t="inlineStr">
        <is>
          <t>VENDIDOS</t>
        </is>
      </c>
      <c r="G1" s="12" t="inlineStr">
        <is>
          <t>APARTADOS</t>
        </is>
      </c>
      <c r="H1" s="12" t="inlineStr">
        <is>
          <t>COMISION</t>
        </is>
      </c>
      <c r="I1" s="12" t="inlineStr">
        <is>
          <t>ESTADO</t>
        </is>
      </c>
    </row>
    <row r="2">
      <c r="A2" s="20" t="inlineStr">
        <is>
          <t>V01</t>
        </is>
      </c>
      <c r="C2" t="inlineStr">
        <is>
          <t>VENDEDOR</t>
        </is>
      </c>
      <c r="D2" s="17" t="n"/>
      <c r="E2" s="15">
        <f>"https://mega-rifa-fusa.vercel.app/?v=" &amp; $A2</f>
        <v/>
      </c>
      <c r="F2" s="15">
        <f>COUNTIFS(NUMEROS!$D:$D,$A2,NUMEROS!$G:$G,"PAGADO")</f>
        <v/>
      </c>
      <c r="G2" s="15">
        <f>COUNTIFS(NUMEROS!$D:$D,$A2,NUMEROS!$G:$G,"APARTADO")</f>
        <v/>
      </c>
      <c r="H2" s="19">
        <f>IF($C2="TIENDA",$F2*600,0)</f>
        <v/>
      </c>
      <c r="I2" t="inlineStr">
        <is>
          <t>ACTIVO</t>
        </is>
      </c>
    </row>
    <row r="3">
      <c r="A3" s="20" t="inlineStr">
        <is>
          <t>V02</t>
        </is>
      </c>
      <c r="C3" t="inlineStr">
        <is>
          <t>VENDEDOR</t>
        </is>
      </c>
      <c r="D3" s="17" t="n"/>
      <c r="E3" s="15">
        <f>"https://mega-rifa-fusa.vercel.app/?v=" &amp; $A3</f>
        <v/>
      </c>
      <c r="F3" s="15">
        <f>COUNTIFS(NUMEROS!$D:$D,$A3,NUMEROS!$G:$G,"PAGADO")</f>
        <v/>
      </c>
      <c r="G3" s="15">
        <f>COUNTIFS(NUMEROS!$D:$D,$A3,NUMEROS!$G:$G,"APARTADO")</f>
        <v/>
      </c>
      <c r="H3" s="19">
        <f>IF($C3="TIENDA",$F3*600,0)</f>
        <v/>
      </c>
      <c r="I3" t="inlineStr">
        <is>
          <t>ACTIVO</t>
        </is>
      </c>
    </row>
    <row r="4">
      <c r="A4" s="20" t="inlineStr">
        <is>
          <t>V03</t>
        </is>
      </c>
      <c r="C4" t="inlineStr">
        <is>
          <t>VENDEDOR</t>
        </is>
      </c>
      <c r="D4" s="17" t="n"/>
      <c r="E4" s="15">
        <f>"https://mega-rifa-fusa.vercel.app/?v=" &amp; $A4</f>
        <v/>
      </c>
      <c r="F4" s="15">
        <f>COUNTIFS(NUMEROS!$D:$D,$A4,NUMEROS!$G:$G,"PAGADO")</f>
        <v/>
      </c>
      <c r="G4" s="15">
        <f>COUNTIFS(NUMEROS!$D:$D,$A4,NUMEROS!$G:$G,"APARTADO")</f>
        <v/>
      </c>
      <c r="H4" s="19">
        <f>IF($C4="TIENDA",$F4*600,0)</f>
        <v/>
      </c>
      <c r="I4" t="inlineStr">
        <is>
          <t>ACTIVO</t>
        </is>
      </c>
    </row>
    <row r="5">
      <c r="A5" s="20" t="inlineStr">
        <is>
          <t>V04</t>
        </is>
      </c>
      <c r="C5" t="inlineStr">
        <is>
          <t>VENDEDOR</t>
        </is>
      </c>
      <c r="D5" s="17" t="n"/>
      <c r="E5" s="15">
        <f>"https://mega-rifa-fusa.vercel.app/?v=" &amp; $A5</f>
        <v/>
      </c>
      <c r="F5" s="15">
        <f>COUNTIFS(NUMEROS!$D:$D,$A5,NUMEROS!$G:$G,"PAGADO")</f>
        <v/>
      </c>
      <c r="G5" s="15">
        <f>COUNTIFS(NUMEROS!$D:$D,$A5,NUMEROS!$G:$G,"APARTADO")</f>
        <v/>
      </c>
      <c r="H5" s="19">
        <f>IF($C5="TIENDA",$F5*600,0)</f>
        <v/>
      </c>
      <c r="I5" t="inlineStr">
        <is>
          <t>ACTIVO</t>
        </is>
      </c>
    </row>
    <row r="6">
      <c r="A6" s="20" t="inlineStr">
        <is>
          <t>V05</t>
        </is>
      </c>
      <c r="C6" t="inlineStr">
        <is>
          <t>VENDEDOR</t>
        </is>
      </c>
      <c r="D6" s="17" t="n"/>
      <c r="E6" s="15">
        <f>"https://mega-rifa-fusa.vercel.app/?v=" &amp; $A6</f>
        <v/>
      </c>
      <c r="F6" s="15">
        <f>COUNTIFS(NUMEROS!$D:$D,$A6,NUMEROS!$G:$G,"PAGADO")</f>
        <v/>
      </c>
      <c r="G6" s="15">
        <f>COUNTIFS(NUMEROS!$D:$D,$A6,NUMEROS!$G:$G,"APARTADO")</f>
        <v/>
      </c>
      <c r="H6" s="19">
        <f>IF($C6="TIENDA",$F6*600,0)</f>
        <v/>
      </c>
      <c r="I6" t="inlineStr">
        <is>
          <t>ACTIVO</t>
        </is>
      </c>
    </row>
    <row r="7">
      <c r="A7" s="20" t="inlineStr">
        <is>
          <t>V06</t>
        </is>
      </c>
      <c r="C7" t="inlineStr">
        <is>
          <t>VENDEDOR</t>
        </is>
      </c>
      <c r="D7" s="17" t="n"/>
      <c r="E7" s="15">
        <f>"https://mega-rifa-fusa.vercel.app/?v=" &amp; $A7</f>
        <v/>
      </c>
      <c r="F7" s="15">
        <f>COUNTIFS(NUMEROS!$D:$D,$A7,NUMEROS!$G:$G,"PAGADO")</f>
        <v/>
      </c>
      <c r="G7" s="15">
        <f>COUNTIFS(NUMEROS!$D:$D,$A7,NUMEROS!$G:$G,"APARTADO")</f>
        <v/>
      </c>
      <c r="H7" s="19">
        <f>IF($C7="TIENDA",$F7*600,0)</f>
        <v/>
      </c>
      <c r="I7" t="inlineStr">
        <is>
          <t>ACTIVO</t>
        </is>
      </c>
    </row>
    <row r="8">
      <c r="A8" s="20" t="inlineStr">
        <is>
          <t>V07</t>
        </is>
      </c>
      <c r="C8" t="inlineStr">
        <is>
          <t>VENDEDOR</t>
        </is>
      </c>
      <c r="D8" s="17" t="n"/>
      <c r="E8" s="15">
        <f>"https://mega-rifa-fusa.vercel.app/?v=" &amp; $A8</f>
        <v/>
      </c>
      <c r="F8" s="15">
        <f>COUNTIFS(NUMEROS!$D:$D,$A8,NUMEROS!$G:$G,"PAGADO")</f>
        <v/>
      </c>
      <c r="G8" s="15">
        <f>COUNTIFS(NUMEROS!$D:$D,$A8,NUMEROS!$G:$G,"APARTADO")</f>
        <v/>
      </c>
      <c r="H8" s="19">
        <f>IF($C8="TIENDA",$F8*600,0)</f>
        <v/>
      </c>
      <c r="I8" t="inlineStr">
        <is>
          <t>ACTIVO</t>
        </is>
      </c>
    </row>
    <row r="9">
      <c r="A9" s="20" t="inlineStr">
        <is>
          <t>V08</t>
        </is>
      </c>
      <c r="C9" t="inlineStr">
        <is>
          <t>VENDEDOR</t>
        </is>
      </c>
      <c r="D9" s="17" t="n"/>
      <c r="E9" s="15">
        <f>"https://mega-rifa-fusa.vercel.app/?v=" &amp; $A9</f>
        <v/>
      </c>
      <c r="F9" s="15">
        <f>COUNTIFS(NUMEROS!$D:$D,$A9,NUMEROS!$G:$G,"PAGADO")</f>
        <v/>
      </c>
      <c r="G9" s="15">
        <f>COUNTIFS(NUMEROS!$D:$D,$A9,NUMEROS!$G:$G,"APARTADO")</f>
        <v/>
      </c>
      <c r="H9" s="19">
        <f>IF($C9="TIENDA",$F9*600,0)</f>
        <v/>
      </c>
      <c r="I9" t="inlineStr">
        <is>
          <t>ACTIVO</t>
        </is>
      </c>
    </row>
    <row r="10">
      <c r="A10" s="20" t="inlineStr">
        <is>
          <t>V09</t>
        </is>
      </c>
      <c r="C10" t="inlineStr">
        <is>
          <t>VENDEDOR</t>
        </is>
      </c>
      <c r="D10" s="17" t="n"/>
      <c r="E10" s="15">
        <f>"https://mega-rifa-fusa.vercel.app/?v=" &amp; $A10</f>
        <v/>
      </c>
      <c r="F10" s="15">
        <f>COUNTIFS(NUMEROS!$D:$D,$A10,NUMEROS!$G:$G,"PAGADO")</f>
        <v/>
      </c>
      <c r="G10" s="15">
        <f>COUNTIFS(NUMEROS!$D:$D,$A10,NUMEROS!$G:$G,"APARTADO")</f>
        <v/>
      </c>
      <c r="H10" s="19">
        <f>IF($C10="TIENDA",$F10*600,0)</f>
        <v/>
      </c>
      <c r="I10" t="inlineStr">
        <is>
          <t>ACTIVO</t>
        </is>
      </c>
    </row>
    <row r="11">
      <c r="A11" s="20" t="inlineStr">
        <is>
          <t>V10</t>
        </is>
      </c>
      <c r="C11" t="inlineStr">
        <is>
          <t>VENDEDOR</t>
        </is>
      </c>
      <c r="D11" s="17" t="n"/>
      <c r="E11" s="15">
        <f>"https://mega-rifa-fusa.vercel.app/?v=" &amp; $A11</f>
        <v/>
      </c>
      <c r="F11" s="15">
        <f>COUNTIFS(NUMEROS!$D:$D,$A11,NUMEROS!$G:$G,"PAGADO")</f>
        <v/>
      </c>
      <c r="G11" s="15">
        <f>COUNTIFS(NUMEROS!$D:$D,$A11,NUMEROS!$G:$G,"APARTADO")</f>
        <v/>
      </c>
      <c r="H11" s="19">
        <f>IF($C11="TIENDA",$F11*600,0)</f>
        <v/>
      </c>
      <c r="I11" t="inlineStr">
        <is>
          <t>ACTIVO</t>
        </is>
      </c>
    </row>
    <row r="12">
      <c r="A12" s="20" t="inlineStr">
        <is>
          <t>V11</t>
        </is>
      </c>
      <c r="C12" t="inlineStr">
        <is>
          <t>VENDEDOR</t>
        </is>
      </c>
      <c r="D12" s="17" t="n"/>
      <c r="E12" s="15">
        <f>"https://mega-rifa-fusa.vercel.app/?v=" &amp; $A12</f>
        <v/>
      </c>
      <c r="F12" s="15">
        <f>COUNTIFS(NUMEROS!$D:$D,$A12,NUMEROS!$G:$G,"PAGADO")</f>
        <v/>
      </c>
      <c r="G12" s="15">
        <f>COUNTIFS(NUMEROS!$D:$D,$A12,NUMEROS!$G:$G,"APARTADO")</f>
        <v/>
      </c>
      <c r="H12" s="19">
        <f>IF($C12="TIENDA",$F12*600,0)</f>
        <v/>
      </c>
      <c r="I12" t="inlineStr">
        <is>
          <t>ACTIVO</t>
        </is>
      </c>
    </row>
    <row r="13">
      <c r="A13" s="20" t="inlineStr">
        <is>
          <t>V12</t>
        </is>
      </c>
      <c r="C13" t="inlineStr">
        <is>
          <t>VENDEDOR</t>
        </is>
      </c>
      <c r="D13" s="17" t="n"/>
      <c r="E13" s="15">
        <f>"https://mega-rifa-fusa.vercel.app/?v=" &amp; $A13</f>
        <v/>
      </c>
      <c r="F13" s="15">
        <f>COUNTIFS(NUMEROS!$D:$D,$A13,NUMEROS!$G:$G,"PAGADO")</f>
        <v/>
      </c>
      <c r="G13" s="15">
        <f>COUNTIFS(NUMEROS!$D:$D,$A13,NUMEROS!$G:$G,"APARTADO")</f>
        <v/>
      </c>
      <c r="H13" s="19">
        <f>IF($C13="TIENDA",$F13*600,0)</f>
        <v/>
      </c>
      <c r="I13" t="inlineStr">
        <is>
          <t>ACTIVO</t>
        </is>
      </c>
    </row>
    <row r="14">
      <c r="A14" s="20" t="inlineStr">
        <is>
          <t>T01</t>
        </is>
      </c>
      <c r="C14" t="inlineStr">
        <is>
          <t>TIENDA</t>
        </is>
      </c>
      <c r="D14" s="17" t="n"/>
      <c r="E14" s="15">
        <f>"https://mega-rifa-fusa.vercel.app/?v=" &amp; $A14</f>
        <v/>
      </c>
      <c r="F14" s="15">
        <f>COUNTIFS(NUMEROS!$D:$D,$A14,NUMEROS!$G:$G,"PAGADO")</f>
        <v/>
      </c>
      <c r="G14" s="15">
        <f>COUNTIFS(NUMEROS!$D:$D,$A14,NUMEROS!$G:$G,"APARTADO")</f>
        <v/>
      </c>
      <c r="H14" s="19">
        <f>IF($C14="TIENDA",$F14*600,0)</f>
        <v/>
      </c>
      <c r="I14" t="inlineStr">
        <is>
          <t>ACTIVO</t>
        </is>
      </c>
    </row>
    <row r="15">
      <c r="A15" s="20" t="inlineStr">
        <is>
          <t>T02</t>
        </is>
      </c>
      <c r="C15" t="inlineStr">
        <is>
          <t>TIENDA</t>
        </is>
      </c>
      <c r="D15" s="17" t="n"/>
      <c r="E15" s="15">
        <f>"https://mega-rifa-fusa.vercel.app/?v=" &amp; $A15</f>
        <v/>
      </c>
      <c r="F15" s="15">
        <f>COUNTIFS(NUMEROS!$D:$D,$A15,NUMEROS!$G:$G,"PAGADO")</f>
        <v/>
      </c>
      <c r="G15" s="15">
        <f>COUNTIFS(NUMEROS!$D:$D,$A15,NUMEROS!$G:$G,"APARTADO")</f>
        <v/>
      </c>
      <c r="H15" s="19">
        <f>IF($C15="TIENDA",$F15*600,0)</f>
        <v/>
      </c>
      <c r="I15" t="inlineStr">
        <is>
          <t>ACTIVO</t>
        </is>
      </c>
    </row>
    <row r="16">
      <c r="A16" s="20" t="inlineStr">
        <is>
          <t>T03</t>
        </is>
      </c>
      <c r="C16" t="inlineStr">
        <is>
          <t>TIENDA</t>
        </is>
      </c>
      <c r="D16" s="17" t="n"/>
      <c r="E16" s="15">
        <f>"https://mega-rifa-fusa.vercel.app/?v=" &amp; $A16</f>
        <v/>
      </c>
      <c r="F16" s="15">
        <f>COUNTIFS(NUMEROS!$D:$D,$A16,NUMEROS!$G:$G,"PAGADO")</f>
        <v/>
      </c>
      <c r="G16" s="15">
        <f>COUNTIFS(NUMEROS!$D:$D,$A16,NUMEROS!$G:$G,"APARTADO")</f>
        <v/>
      </c>
      <c r="H16" s="19">
        <f>IF($C16="TIENDA",$F16*600,0)</f>
        <v/>
      </c>
      <c r="I16" t="inlineStr">
        <is>
          <t>ACTIVO</t>
        </is>
      </c>
    </row>
    <row r="17">
      <c r="A17" s="20" t="inlineStr">
        <is>
          <t>N01</t>
        </is>
      </c>
      <c r="B17" t="inlineStr">
        <is>
          <t>Sofía</t>
        </is>
      </c>
      <c r="C17" t="inlineStr">
        <is>
          <t>NZ</t>
        </is>
      </c>
      <c r="D17" s="17" t="n"/>
      <c r="E17" s="15">
        <f>"https://mega-rifa-fusa.vercel.app/?v=" &amp; $A17</f>
        <v/>
      </c>
      <c r="F17" s="15">
        <f>COUNTIFS(NUMEROS!$D:$D,$A17,NUMEROS!$G:$G,"PAGADO")</f>
        <v/>
      </c>
      <c r="G17" s="15">
        <f>COUNTIFS(NUMEROS!$D:$D,$A17,NUMEROS!$G:$G,"APARTADO")</f>
        <v/>
      </c>
      <c r="H17" s="19">
        <f>IF($C17="TIENDA",$F17*600,0)</f>
        <v/>
      </c>
      <c r="I17" t="inlineStr">
        <is>
          <t>ACTIVO</t>
        </is>
      </c>
    </row>
    <row r="18">
      <c r="A18" s="20" t="inlineStr">
        <is>
          <t>N02</t>
        </is>
      </c>
      <c r="B18" t="inlineStr">
        <is>
          <t>Reserva de Sofía</t>
        </is>
      </c>
      <c r="C18" t="inlineStr">
        <is>
          <t>NZ</t>
        </is>
      </c>
      <c r="D18" s="17" t="n"/>
      <c r="E18" s="15">
        <f>"https://mega-rifa-fusa.vercel.app/?v=" &amp; $A18</f>
        <v/>
      </c>
      <c r="F18" s="15">
        <f>COUNTIFS(NUMEROS!$D:$D,$A18,NUMEROS!$G:$G,"PAGADO")</f>
        <v/>
      </c>
      <c r="G18" s="15">
        <f>COUNTIFS(NUMEROS!$D:$D,$A18,NUMEROS!$G:$G,"APARTADO")</f>
        <v/>
      </c>
      <c r="H18" s="19">
        <f>IF($C18="TIENDA",$F18*600,0)</f>
        <v/>
      </c>
      <c r="I18" t="inlineStr">
        <is>
          <t>ACTIVO</t>
        </is>
      </c>
    </row>
    <row r="19">
      <c r="A19" s="20" t="inlineStr">
        <is>
          <t>SBG</t>
        </is>
      </c>
      <c r="B19" t="inlineStr">
        <is>
          <t>Santiago (venta directa)</t>
        </is>
      </c>
      <c r="C19" t="inlineStr">
        <is>
          <t>VENDEDOR</t>
        </is>
      </c>
      <c r="D19" s="17" t="n"/>
      <c r="E19" s="15">
        <f>"https://mega-rifa-fusa.vercel.app/?v=" &amp; $A19</f>
        <v/>
      </c>
      <c r="F19" s="15">
        <f>COUNTIFS(NUMEROS!$D:$D,$A19,NUMEROS!$G:$G,"PAGADO")</f>
        <v/>
      </c>
      <c r="G19" s="15">
        <f>COUNTIFS(NUMEROS!$D:$D,$A19,NUMEROS!$G:$G,"APARTADO")</f>
        <v/>
      </c>
      <c r="H19" s="19">
        <f>IF($C19="TIENDA",$F19*600,0)</f>
        <v/>
      </c>
      <c r="I19" t="inlineStr">
        <is>
          <t>ACTIVO</t>
        </is>
      </c>
    </row>
    <row r="20">
      <c r="A20" s="20" t="inlineStr">
        <is>
          <t>DIR</t>
        </is>
      </c>
      <c r="B20" t="inlineStr">
        <is>
          <t>Sin vendedor (llegó por el Canal o un Estado)</t>
        </is>
      </c>
      <c r="C20" t="inlineStr">
        <is>
          <t>VENDEDOR</t>
        </is>
      </c>
      <c r="D20" s="17" t="n"/>
      <c r="E20" s="15">
        <f>"https://mega-rifa-fusa.vercel.app/?v=" &amp; $A20</f>
        <v/>
      </c>
      <c r="F20" s="15">
        <f>COUNTIFS(NUMEROS!$D:$D,$A20,NUMEROS!$G:$G,"PAGADO")</f>
        <v/>
      </c>
      <c r="G20" s="15">
        <f>COUNTIFS(NUMEROS!$D:$D,$A20,NUMEROS!$G:$G,"APARTADO")</f>
        <v/>
      </c>
      <c r="H20" s="19">
        <f>IF($C20="TIENDA",$F20*600,0)</f>
        <v/>
      </c>
      <c r="I20" t="inlineStr">
        <is>
          <t>ACTIVO</t>
        </is>
      </c>
    </row>
    <row r="22">
      <c r="A22" s="11" t="inlineStr">
        <is>
          <t>ESTA HOJA NO SE PUBLICA: tiene nombres completos y teléfonos.</t>
        </is>
      </c>
    </row>
    <row r="23">
      <c r="A23" s="11" t="inlineStr">
        <is>
          <t>La columna LINK ya trae el link real de cada vendedor. Solo llena NOMBRE y WHATSAPP.</t>
        </is>
      </c>
    </row>
    <row r="24">
      <c r="A24" s="11" t="inlineStr">
        <is>
          <t>Columnas grises (LINK, VENDIDOS, APARTADOS, COMISION) = fórmulas, no se tocan.</t>
        </is>
      </c>
    </row>
    <row r="25">
      <c r="A25" s="11" t="inlineStr">
        <is>
          <t>Puedes cambiar el código (V01) por el NOMBRE del vendedor, en MAYÚSCULAS, sin tildes ni espacios: ANGELICA, MARIAJOSE, JUANP. El link, los conteos y la lista del tablero se ajustan solos. Dos iguales: ANGELICA, ANGELICA2.</t>
        </is>
      </c>
    </row>
  </sheetData>
  <dataValidations count="1">
    <dataValidation sqref="I2:I20" showDropDown="0" showInputMessage="0" showErrorMessage="0" allowBlank="1" type="list">
      <formula1>"ACTIVO,INACTIVO"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6F50"/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0" customWidth="1" min="5" max="5"/>
  </cols>
  <sheetData>
    <row r="1" ht="24" customHeight="1">
      <c r="A1" s="12" t="inlineStr">
        <is>
          <t>FECHA</t>
        </is>
      </c>
      <c r="B1" s="12" t="inlineStr">
        <is>
          <t>CONCEPTO</t>
        </is>
      </c>
      <c r="C1" s="12" t="inlineStr">
        <is>
          <t>MONTO_COP</t>
        </is>
      </c>
      <c r="D1" s="12" t="inlineStr">
        <is>
          <t>CATEGORIA</t>
        </is>
      </c>
      <c r="E1" s="12" t="inlineStr">
        <is>
          <t>PAGADO</t>
        </is>
      </c>
    </row>
    <row r="2">
      <c r="A2" s="21" t="n"/>
      <c r="B2" t="inlineStr">
        <is>
          <t>Premio en efectivo</t>
        </is>
      </c>
      <c r="C2" s="18" t="n">
        <v>2000000</v>
      </c>
      <c r="D2" t="inlineStr">
        <is>
          <t>PREMIO</t>
        </is>
      </c>
      <c r="E2" t="inlineStr">
        <is>
          <t>NO</t>
        </is>
      </c>
    </row>
    <row r="3">
      <c r="A3" s="21" t="n"/>
      <c r="B3" t="inlineStr">
        <is>
          <t>Bono al vendedor estrella</t>
        </is>
      </c>
      <c r="C3" s="18" t="n">
        <v>100000</v>
      </c>
      <c r="D3" t="inlineStr">
        <is>
          <t>VENDEDOR</t>
        </is>
      </c>
      <c r="E3" t="inlineStr">
        <is>
          <t>NO</t>
        </is>
      </c>
    </row>
    <row r="4">
      <c r="A4" s="21" t="n"/>
      <c r="B4" t="inlineStr">
        <is>
          <t>Varios (impresiones, transporte)</t>
        </is>
      </c>
      <c r="C4" s="18" t="n">
        <v>50000</v>
      </c>
      <c r="D4" t="inlineStr">
        <is>
          <t>VARIOS</t>
        </is>
      </c>
      <c r="E4" t="inlineStr">
        <is>
          <t>NO</t>
        </is>
      </c>
    </row>
    <row r="5">
      <c r="A5" s="21" t="n"/>
      <c r="C5" s="18" t="n"/>
    </row>
    <row r="6">
      <c r="A6" s="21" t="n"/>
      <c r="C6" s="18" t="n"/>
    </row>
    <row r="7">
      <c r="A7" s="21" t="n"/>
      <c r="C7" s="18" t="n"/>
    </row>
    <row r="8">
      <c r="A8" s="21" t="n"/>
      <c r="C8" s="18" t="n"/>
    </row>
    <row r="9">
      <c r="A9" s="21" t="n"/>
      <c r="C9" s="18" t="n"/>
    </row>
    <row r="10">
      <c r="A10" s="21" t="n"/>
      <c r="C10" s="18" t="n"/>
    </row>
    <row r="11">
      <c r="A11" s="21" t="n"/>
      <c r="C11" s="18" t="n"/>
    </row>
    <row r="12">
      <c r="A12" s="21" t="n"/>
      <c r="C12" s="18" t="n"/>
    </row>
    <row r="13">
      <c r="A13" s="21" t="n"/>
      <c r="C13" s="18" t="n"/>
    </row>
    <row r="14">
      <c r="A14" s="21" t="n"/>
      <c r="C14" s="18" t="n"/>
    </row>
    <row r="15">
      <c r="A15" s="21" t="n"/>
      <c r="C15" s="18" t="n"/>
    </row>
    <row r="16">
      <c r="A16" s="21" t="n"/>
      <c r="C16" s="18" t="n"/>
    </row>
    <row r="17">
      <c r="A17" s="21" t="n"/>
      <c r="C17" s="18" t="n"/>
    </row>
    <row r="18">
      <c r="A18" s="21" t="n"/>
      <c r="C18" s="18" t="n"/>
    </row>
    <row r="19">
      <c r="A19" s="21" t="n"/>
      <c r="C19" s="18" t="n"/>
    </row>
    <row r="20">
      <c r="A20" s="21" t="n"/>
      <c r="C20" s="18" t="n"/>
    </row>
    <row r="21">
      <c r="A21" s="21" t="n"/>
      <c r="C21" s="18" t="n"/>
    </row>
    <row r="22">
      <c r="A22" s="21" t="n"/>
      <c r="C22" s="18" t="n"/>
    </row>
    <row r="23">
      <c r="A23" s="21" t="n"/>
      <c r="C23" s="18" t="n"/>
    </row>
    <row r="24">
      <c r="A24" s="21" t="n"/>
      <c r="C24" s="18" t="n"/>
    </row>
    <row r="25">
      <c r="A25" s="21" t="n"/>
      <c r="C25" s="18" t="n"/>
    </row>
    <row r="26">
      <c r="A26" s="21" t="n"/>
      <c r="C26" s="18" t="n"/>
    </row>
    <row r="27">
      <c r="A27" s="21" t="n"/>
      <c r="C27" s="18" t="n"/>
    </row>
    <row r="28">
      <c r="A28" s="21" t="n"/>
      <c r="C28" s="18" t="n"/>
    </row>
    <row r="29">
      <c r="A29" s="21" t="n"/>
      <c r="C29" s="18" t="n"/>
    </row>
    <row r="30">
      <c r="A30" s="21" t="n"/>
      <c r="C30" s="18" t="n"/>
    </row>
    <row r="31">
      <c r="A31" s="21" t="n"/>
      <c r="C31" s="18" t="n"/>
    </row>
    <row r="32">
      <c r="A32" s="21" t="n"/>
      <c r="C32" s="18" t="n"/>
    </row>
    <row r="33">
      <c r="A33" s="21" t="n"/>
      <c r="C33" s="18" t="n"/>
    </row>
    <row r="34">
      <c r="A34" s="21" t="n"/>
      <c r="C34" s="18" t="n"/>
    </row>
    <row r="35">
      <c r="A35" s="21" t="n"/>
      <c r="C35" s="18" t="n"/>
    </row>
    <row r="36">
      <c r="A36" s="21" t="n"/>
      <c r="C36" s="18" t="n"/>
    </row>
    <row r="37">
      <c r="A37" s="21" t="n"/>
      <c r="C37" s="18" t="n"/>
    </row>
    <row r="38">
      <c r="A38" s="21" t="n"/>
      <c r="C38" s="18" t="n"/>
    </row>
    <row r="39">
      <c r="A39" s="21" t="n"/>
      <c r="C39" s="18" t="n"/>
    </row>
    <row r="40">
      <c r="A40" s="21" t="n"/>
      <c r="C40" s="18" t="n"/>
    </row>
    <row r="41">
      <c r="A41" s="21" t="n"/>
      <c r="C41" s="18" t="n"/>
    </row>
    <row r="42">
      <c r="A42" s="21" t="n"/>
      <c r="C42" s="18" t="n"/>
    </row>
    <row r="43">
      <c r="A43" s="21" t="n"/>
      <c r="C43" s="18" t="n"/>
    </row>
    <row r="44">
      <c r="A44" s="21" t="n"/>
      <c r="C44" s="18" t="n"/>
    </row>
    <row r="45">
      <c r="A45" s="21" t="n"/>
      <c r="C45" s="18" t="n"/>
    </row>
    <row r="46">
      <c r="A46" s="21" t="n"/>
      <c r="C46" s="18" t="n"/>
    </row>
    <row r="47">
      <c r="A47" s="21" t="n"/>
      <c r="C47" s="18" t="n"/>
    </row>
    <row r="48">
      <c r="A48" s="21" t="n"/>
      <c r="C48" s="18" t="n"/>
    </row>
    <row r="49">
      <c r="A49" s="21" t="n"/>
      <c r="C49" s="18" t="n"/>
    </row>
    <row r="50">
      <c r="A50" s="21" t="n"/>
      <c r="C50" s="18" t="n"/>
    </row>
    <row r="51">
      <c r="A51" s="21" t="n"/>
      <c r="C51" s="18" t="n"/>
    </row>
    <row r="52">
      <c r="A52" s="21" t="n"/>
      <c r="C52" s="18" t="n"/>
    </row>
    <row r="53">
      <c r="A53" s="21" t="n"/>
      <c r="C53" s="18" t="n"/>
    </row>
    <row r="54">
      <c r="A54" s="21" t="n"/>
      <c r="C54" s="18" t="n"/>
    </row>
    <row r="55">
      <c r="A55" s="21" t="n"/>
      <c r="C55" s="18" t="n"/>
    </row>
    <row r="56">
      <c r="A56" s="21" t="n"/>
      <c r="C56" s="18" t="n"/>
    </row>
    <row r="57">
      <c r="A57" s="21" t="n"/>
      <c r="C57" s="18" t="n"/>
    </row>
    <row r="58">
      <c r="A58" s="21" t="n"/>
      <c r="C58" s="18" t="n"/>
    </row>
    <row r="59">
      <c r="A59" s="21" t="n"/>
      <c r="C59" s="18" t="n"/>
    </row>
    <row r="60">
      <c r="A60" s="21" t="n"/>
      <c r="C60" s="18" t="n"/>
    </row>
    <row r="61">
      <c r="A61" s="21" t="n"/>
      <c r="C61" s="18" t="n"/>
    </row>
    <row r="62">
      <c r="A62" s="21" t="n"/>
      <c r="C62" s="18" t="n"/>
    </row>
    <row r="63">
      <c r="A63" s="21" t="n"/>
      <c r="C63" s="18" t="n"/>
    </row>
    <row r="64">
      <c r="A64" s="21" t="n"/>
      <c r="C64" s="18" t="n"/>
    </row>
    <row r="65">
      <c r="A65" s="21" t="n"/>
      <c r="C65" s="18" t="n"/>
    </row>
    <row r="66">
      <c r="A66" s="21" t="n"/>
      <c r="C66" s="18" t="n"/>
    </row>
    <row r="67">
      <c r="A67" s="21" t="n"/>
      <c r="C67" s="18" t="n"/>
    </row>
    <row r="68">
      <c r="A68" s="21" t="n"/>
      <c r="C68" s="18" t="n"/>
    </row>
    <row r="69">
      <c r="A69" s="21" t="n"/>
      <c r="C69" s="18" t="n"/>
    </row>
    <row r="70">
      <c r="A70" s="21" t="n"/>
      <c r="C70" s="18" t="n"/>
    </row>
    <row r="71">
      <c r="A71" s="21" t="n"/>
      <c r="C71" s="18" t="n"/>
    </row>
    <row r="72">
      <c r="A72" s="21" t="n"/>
      <c r="C72" s="18" t="n"/>
    </row>
    <row r="73">
      <c r="A73" s="21" t="n"/>
      <c r="C73" s="18" t="n"/>
    </row>
    <row r="74">
      <c r="A74" s="21" t="n"/>
      <c r="C74" s="18" t="n"/>
    </row>
    <row r="75">
      <c r="A75" s="21" t="n"/>
      <c r="C75" s="18" t="n"/>
    </row>
    <row r="76">
      <c r="A76" s="21" t="n"/>
      <c r="C76" s="18" t="n"/>
    </row>
    <row r="77">
      <c r="A77" s="21" t="n"/>
      <c r="C77" s="18" t="n"/>
    </row>
    <row r="78">
      <c r="A78" s="21" t="n"/>
      <c r="C78" s="18" t="n"/>
    </row>
    <row r="79">
      <c r="A79" s="21" t="n"/>
      <c r="C79" s="18" t="n"/>
    </row>
    <row r="80">
      <c r="A80" s="21" t="n"/>
      <c r="C80" s="18" t="n"/>
    </row>
    <row r="81">
      <c r="A81" s="21" t="n"/>
      <c r="C81" s="18" t="n"/>
    </row>
    <row r="82">
      <c r="A82" s="21" t="n"/>
      <c r="C82" s="18" t="n"/>
    </row>
    <row r="83">
      <c r="A83" s="21" t="n"/>
      <c r="C83" s="18" t="n"/>
    </row>
    <row r="84">
      <c r="A84" s="21" t="n"/>
      <c r="C84" s="18" t="n"/>
    </row>
    <row r="85">
      <c r="A85" s="21" t="n"/>
      <c r="C85" s="18" t="n"/>
    </row>
    <row r="86">
      <c r="A86" s="21" t="n"/>
      <c r="C86" s="18" t="n"/>
    </row>
    <row r="87">
      <c r="A87" s="21" t="n"/>
      <c r="C87" s="18" t="n"/>
    </row>
    <row r="88">
      <c r="A88" s="21" t="n"/>
      <c r="C88" s="18" t="n"/>
    </row>
    <row r="89">
      <c r="A89" s="21" t="n"/>
      <c r="C89" s="18" t="n"/>
    </row>
    <row r="90">
      <c r="A90" s="21" t="n"/>
      <c r="C90" s="18" t="n"/>
    </row>
    <row r="91">
      <c r="A91" s="21" t="n"/>
      <c r="C91" s="18" t="n"/>
    </row>
    <row r="92">
      <c r="A92" s="21" t="n"/>
      <c r="C92" s="18" t="n"/>
    </row>
    <row r="93">
      <c r="A93" s="21" t="n"/>
      <c r="C93" s="18" t="n"/>
    </row>
    <row r="94">
      <c r="A94" s="21" t="n"/>
      <c r="C94" s="18" t="n"/>
    </row>
    <row r="95">
      <c r="A95" s="21" t="n"/>
      <c r="C95" s="18" t="n"/>
    </row>
    <row r="96">
      <c r="A96" s="21" t="n"/>
      <c r="C96" s="18" t="n"/>
    </row>
    <row r="97">
      <c r="A97" s="21" t="n"/>
      <c r="C97" s="18" t="n"/>
    </row>
    <row r="98">
      <c r="A98" s="21" t="n"/>
      <c r="C98" s="18" t="n"/>
    </row>
    <row r="99">
      <c r="A99" s="21" t="n"/>
      <c r="C99" s="18" t="n"/>
    </row>
    <row r="100">
      <c r="A100" s="21" t="n"/>
      <c r="C100" s="18" t="n"/>
    </row>
    <row r="101">
      <c r="A101" s="21" t="n"/>
      <c r="C101" s="18" t="n"/>
    </row>
  </sheetData>
  <dataValidations count="2">
    <dataValidation sqref="D2:D101" showDropDown="0" showInputMessage="0" showErrorMessage="0" allowBlank="1" type="list">
      <formula1>"PREMIO,VENDEDOR,TIENDAS,TIZUMBA,VARIOS"</formula1>
    </dataValidation>
    <dataValidation sqref="E2:E10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6F50"/>
    <outlinePr summaryBelow="1" summaryRight="1"/>
    <pageSetUpPr/>
  </sheetPr>
  <dimension ref="A1:F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20" customWidth="1" min="5" max="5"/>
    <col width="30" customWidth="1" min="6" max="6"/>
  </cols>
  <sheetData>
    <row r="1">
      <c r="A1" s="22" t="inlineStr">
        <is>
          <t>TASA COP POR NZD</t>
        </is>
      </c>
      <c r="B1" s="23" t="n">
        <v>1843</v>
      </c>
      <c r="C1" s="24" t="inlineStr">
        <is>
          <t>Si se cambia, se anota en el registro de decisiones. PAGOS!F la lee de acá.</t>
        </is>
      </c>
    </row>
    <row r="3">
      <c r="A3" s="25" t="inlineStr">
        <is>
          <t>FECHA</t>
        </is>
      </c>
      <c r="B3" s="25" t="inlineStr">
        <is>
          <t>NUMEROS</t>
        </is>
      </c>
      <c r="C3" s="25" t="inlineStr">
        <is>
          <t>NZD</t>
        </is>
      </c>
      <c r="D3" s="25" t="inlineStr">
        <is>
          <t>COP_EQUIV</t>
        </is>
      </c>
      <c r="E3" s="25" t="inlineStr">
        <is>
          <t>EN_CUENTA_DE_SOFIA</t>
        </is>
      </c>
      <c r="F3" s="25" t="inlineStr">
        <is>
          <t>NOTA</t>
        </is>
      </c>
    </row>
    <row r="4">
      <c r="A4" s="21" t="n"/>
      <c r="D4" s="19">
        <f>IF($C4="","",$C4*$B$1)</f>
        <v/>
      </c>
    </row>
    <row r="5">
      <c r="A5" s="21" t="n"/>
      <c r="D5" s="19">
        <f>IF($C5="","",$C5*$B$1)</f>
        <v/>
      </c>
    </row>
    <row r="6">
      <c r="A6" s="21" t="n"/>
      <c r="D6" s="19">
        <f>IF($C6="","",$C6*$B$1)</f>
        <v/>
      </c>
    </row>
    <row r="7">
      <c r="A7" s="21" t="n"/>
      <c r="D7" s="19">
        <f>IF($C7="","",$C7*$B$1)</f>
        <v/>
      </c>
    </row>
    <row r="8">
      <c r="A8" s="21" t="n"/>
      <c r="D8" s="19">
        <f>IF($C8="","",$C8*$B$1)</f>
        <v/>
      </c>
    </row>
    <row r="9">
      <c r="A9" s="21" t="n"/>
      <c r="D9" s="19">
        <f>IF($C9="","",$C9*$B$1)</f>
        <v/>
      </c>
    </row>
    <row r="10">
      <c r="A10" s="21" t="n"/>
      <c r="D10" s="19">
        <f>IF($C10="","",$C10*$B$1)</f>
        <v/>
      </c>
    </row>
    <row r="11">
      <c r="A11" s="21" t="n"/>
      <c r="D11" s="19">
        <f>IF($C11="","",$C11*$B$1)</f>
        <v/>
      </c>
    </row>
    <row r="12">
      <c r="A12" s="21" t="n"/>
      <c r="D12" s="19">
        <f>IF($C12="","",$C12*$B$1)</f>
        <v/>
      </c>
    </row>
    <row r="13">
      <c r="A13" s="21" t="n"/>
      <c r="D13" s="19">
        <f>IF($C13="","",$C13*$B$1)</f>
        <v/>
      </c>
    </row>
    <row r="14">
      <c r="A14" s="21" t="n"/>
      <c r="D14" s="19">
        <f>IF($C14="","",$C14*$B$1)</f>
        <v/>
      </c>
    </row>
    <row r="15">
      <c r="A15" s="21" t="n"/>
      <c r="D15" s="19">
        <f>IF($C15="","",$C15*$B$1)</f>
        <v/>
      </c>
    </row>
    <row r="16">
      <c r="A16" s="21" t="n"/>
      <c r="D16" s="19">
        <f>IF($C16="","",$C16*$B$1)</f>
        <v/>
      </c>
    </row>
    <row r="17">
      <c r="A17" s="21" t="n"/>
      <c r="D17" s="19">
        <f>IF($C17="","",$C17*$B$1)</f>
        <v/>
      </c>
    </row>
    <row r="18">
      <c r="A18" s="21" t="n"/>
      <c r="D18" s="19">
        <f>IF($C18="","",$C18*$B$1)</f>
        <v/>
      </c>
    </row>
    <row r="19">
      <c r="A19" s="21" t="n"/>
      <c r="D19" s="19">
        <f>IF($C19="","",$C19*$B$1)</f>
        <v/>
      </c>
    </row>
    <row r="20">
      <c r="A20" s="21" t="n"/>
      <c r="D20" s="19">
        <f>IF($C20="","",$C20*$B$1)</f>
        <v/>
      </c>
    </row>
    <row r="21">
      <c r="A21" s="21" t="n"/>
      <c r="D21" s="19">
        <f>IF($C21="","",$C21*$B$1)</f>
        <v/>
      </c>
    </row>
    <row r="22">
      <c r="A22" s="21" t="n"/>
      <c r="D22" s="19">
        <f>IF($C22="","",$C22*$B$1)</f>
        <v/>
      </c>
    </row>
    <row r="23">
      <c r="A23" s="21" t="n"/>
      <c r="D23" s="19">
        <f>IF($C23="","",$C23*$B$1)</f>
        <v/>
      </c>
    </row>
    <row r="24">
      <c r="A24" s="21" t="n"/>
      <c r="D24" s="19">
        <f>IF($C24="","",$C24*$B$1)</f>
        <v/>
      </c>
    </row>
    <row r="25">
      <c r="A25" s="21" t="n"/>
      <c r="D25" s="19">
        <f>IF($C25="","",$C25*$B$1)</f>
        <v/>
      </c>
    </row>
    <row r="26">
      <c r="A26" s="21" t="n"/>
      <c r="D26" s="19">
        <f>IF($C26="","",$C26*$B$1)</f>
        <v/>
      </c>
    </row>
    <row r="27">
      <c r="A27" s="21" t="n"/>
      <c r="D27" s="19">
        <f>IF($C27="","",$C27*$B$1)</f>
        <v/>
      </c>
    </row>
    <row r="28">
      <c r="A28" s="21" t="n"/>
      <c r="D28" s="19">
        <f>IF($C28="","",$C28*$B$1)</f>
        <v/>
      </c>
    </row>
    <row r="29">
      <c r="A29" s="21" t="n"/>
      <c r="D29" s="19">
        <f>IF($C29="","",$C29*$B$1)</f>
        <v/>
      </c>
    </row>
    <row r="30">
      <c r="A30" s="21" t="n"/>
      <c r="D30" s="19">
        <f>IF($C30="","",$C30*$B$1)</f>
        <v/>
      </c>
    </row>
    <row r="31">
      <c r="A31" s="21" t="n"/>
      <c r="D31" s="19">
        <f>IF($C31="","",$C31*$B$1)</f>
        <v/>
      </c>
    </row>
    <row r="32">
      <c r="A32" s="21" t="n"/>
      <c r="D32" s="19">
        <f>IF($C32="","",$C32*$B$1)</f>
        <v/>
      </c>
    </row>
    <row r="33">
      <c r="A33" s="21" t="n"/>
      <c r="D33" s="19">
        <f>IF($C33="","",$C33*$B$1)</f>
        <v/>
      </c>
    </row>
    <row r="34">
      <c r="A34" s="21" t="n"/>
      <c r="D34" s="19">
        <f>IF($C34="","",$C34*$B$1)</f>
        <v/>
      </c>
    </row>
    <row r="35">
      <c r="A35" s="21" t="n"/>
      <c r="D35" s="19">
        <f>IF($C35="","",$C35*$B$1)</f>
        <v/>
      </c>
    </row>
    <row r="36">
      <c r="A36" s="21" t="n"/>
      <c r="D36" s="19">
        <f>IF($C36="","",$C36*$B$1)</f>
        <v/>
      </c>
    </row>
    <row r="37">
      <c r="A37" s="21" t="n"/>
      <c r="D37" s="19">
        <f>IF($C37="","",$C37*$B$1)</f>
        <v/>
      </c>
    </row>
    <row r="38">
      <c r="A38" s="21" t="n"/>
      <c r="D38" s="19">
        <f>IF($C38="","",$C38*$B$1)</f>
        <v/>
      </c>
    </row>
    <row r="39">
      <c r="A39" s="21" t="n"/>
      <c r="D39" s="19">
        <f>IF($C39="","",$C39*$B$1)</f>
        <v/>
      </c>
    </row>
    <row r="40">
      <c r="A40" s="21" t="n"/>
      <c r="D40" s="19">
        <f>IF($C40="","",$C40*$B$1)</f>
        <v/>
      </c>
    </row>
    <row r="41">
      <c r="A41" s="21" t="n"/>
      <c r="D41" s="19">
        <f>IF($C41="","",$C41*$B$1)</f>
        <v/>
      </c>
    </row>
    <row r="42">
      <c r="A42" s="21" t="n"/>
      <c r="D42" s="19">
        <f>IF($C42="","",$C42*$B$1)</f>
        <v/>
      </c>
    </row>
    <row r="43">
      <c r="A43" s="21" t="n"/>
      <c r="D43" s="19">
        <f>IF($C43="","",$C43*$B$1)</f>
        <v/>
      </c>
    </row>
    <row r="44">
      <c r="A44" s="21" t="n"/>
      <c r="D44" s="19">
        <f>IF($C44="","",$C44*$B$1)</f>
        <v/>
      </c>
    </row>
    <row r="45">
      <c r="A45" s="21" t="n"/>
      <c r="D45" s="19">
        <f>IF($C45="","",$C45*$B$1)</f>
        <v/>
      </c>
    </row>
    <row r="46">
      <c r="A46" s="21" t="n"/>
      <c r="D46" s="19">
        <f>IF($C46="","",$C46*$B$1)</f>
        <v/>
      </c>
    </row>
    <row r="47">
      <c r="A47" s="21" t="n"/>
      <c r="D47" s="19">
        <f>IF($C47="","",$C47*$B$1)</f>
        <v/>
      </c>
    </row>
    <row r="48">
      <c r="A48" s="21" t="n"/>
      <c r="D48" s="19">
        <f>IF($C48="","",$C48*$B$1)</f>
        <v/>
      </c>
    </row>
    <row r="49">
      <c r="A49" s="21" t="n"/>
      <c r="D49" s="19">
        <f>IF($C49="","",$C49*$B$1)</f>
        <v/>
      </c>
    </row>
    <row r="50">
      <c r="A50" s="21" t="n"/>
      <c r="D50" s="19">
        <f>IF($C50="","",$C50*$B$1)</f>
        <v/>
      </c>
    </row>
    <row r="51">
      <c r="A51" s="21" t="n"/>
      <c r="D51" s="19">
        <f>IF($C51="","",$C51*$B$1)</f>
        <v/>
      </c>
    </row>
    <row r="52">
      <c r="A52" s="21" t="n"/>
      <c r="D52" s="19">
        <f>IF($C52="","",$C52*$B$1)</f>
        <v/>
      </c>
    </row>
    <row r="53">
      <c r="A53" s="21" t="n"/>
      <c r="D53" s="19">
        <f>IF($C53="","",$C53*$B$1)</f>
        <v/>
      </c>
    </row>
    <row r="54">
      <c r="A54" s="21" t="n"/>
      <c r="D54" s="19">
        <f>IF($C54="","",$C54*$B$1)</f>
        <v/>
      </c>
    </row>
    <row r="55">
      <c r="A55" s="21" t="n"/>
      <c r="D55" s="19">
        <f>IF($C55="","",$C55*$B$1)</f>
        <v/>
      </c>
    </row>
    <row r="56">
      <c r="A56" s="21" t="n"/>
      <c r="D56" s="19">
        <f>IF($C56="","",$C56*$B$1)</f>
        <v/>
      </c>
    </row>
    <row r="57">
      <c r="A57" s="21" t="n"/>
      <c r="D57" s="19">
        <f>IF($C57="","",$C57*$B$1)</f>
        <v/>
      </c>
    </row>
    <row r="58">
      <c r="A58" s="21" t="n"/>
      <c r="D58" s="19">
        <f>IF($C58="","",$C58*$B$1)</f>
        <v/>
      </c>
    </row>
    <row r="59">
      <c r="A59" s="21" t="n"/>
      <c r="D59" s="19">
        <f>IF($C59="","",$C59*$B$1)</f>
        <v/>
      </c>
    </row>
    <row r="60">
      <c r="A60" s="21" t="n"/>
      <c r="D60" s="19">
        <f>IF($C60="","",$C60*$B$1)</f>
        <v/>
      </c>
    </row>
    <row r="61">
      <c r="A61" s="21" t="n"/>
      <c r="D61" s="19">
        <f>IF($C61="","",$C61*$B$1)</f>
        <v/>
      </c>
    </row>
    <row r="62">
      <c r="A62" s="21" t="n"/>
      <c r="D62" s="19">
        <f>IF($C62="","",$C62*$B$1)</f>
        <v/>
      </c>
    </row>
    <row r="63">
      <c r="A63" s="21" t="n"/>
      <c r="D63" s="19">
        <f>IF($C63="","",$C63*$B$1)</f>
        <v/>
      </c>
    </row>
    <row r="64">
      <c r="A64" s="21" t="n"/>
      <c r="D64" s="19">
        <f>IF($C64="","",$C64*$B$1)</f>
        <v/>
      </c>
    </row>
    <row r="65">
      <c r="A65" s="21" t="n"/>
      <c r="D65" s="19">
        <f>IF($C65="","",$C65*$B$1)</f>
        <v/>
      </c>
    </row>
    <row r="66">
      <c r="A66" s="21" t="n"/>
      <c r="D66" s="19">
        <f>IF($C66="","",$C66*$B$1)</f>
        <v/>
      </c>
    </row>
    <row r="67">
      <c r="A67" s="21" t="n"/>
      <c r="D67" s="19">
        <f>IF($C67="","",$C67*$B$1)</f>
        <v/>
      </c>
    </row>
    <row r="68">
      <c r="A68" s="21" t="n"/>
      <c r="D68" s="19">
        <f>IF($C68="","",$C68*$B$1)</f>
        <v/>
      </c>
    </row>
    <row r="69">
      <c r="A69" s="21" t="n"/>
      <c r="D69" s="19">
        <f>IF($C69="","",$C69*$B$1)</f>
        <v/>
      </c>
    </row>
    <row r="70">
      <c r="A70" s="21" t="n"/>
      <c r="D70" s="19">
        <f>IF($C70="","",$C70*$B$1)</f>
        <v/>
      </c>
    </row>
    <row r="71">
      <c r="A71" s="21" t="n"/>
      <c r="D71" s="19">
        <f>IF($C71="","",$C71*$B$1)</f>
        <v/>
      </c>
    </row>
    <row r="72">
      <c r="A72" s="21" t="n"/>
      <c r="D72" s="19">
        <f>IF($C72="","",$C72*$B$1)</f>
        <v/>
      </c>
    </row>
    <row r="73">
      <c r="A73" s="21" t="n"/>
      <c r="D73" s="19">
        <f>IF($C73="","",$C73*$B$1)</f>
        <v/>
      </c>
    </row>
    <row r="74">
      <c r="A74" s="21" t="n"/>
      <c r="D74" s="19">
        <f>IF($C74="","",$C74*$B$1)</f>
        <v/>
      </c>
    </row>
    <row r="75">
      <c r="A75" s="21" t="n"/>
      <c r="D75" s="19">
        <f>IF($C75="","",$C75*$B$1)</f>
        <v/>
      </c>
    </row>
    <row r="76">
      <c r="A76" s="21" t="n"/>
      <c r="D76" s="19">
        <f>IF($C76="","",$C76*$B$1)</f>
        <v/>
      </c>
    </row>
    <row r="77">
      <c r="A77" s="21" t="n"/>
      <c r="D77" s="19">
        <f>IF($C77="","",$C77*$B$1)</f>
        <v/>
      </c>
    </row>
    <row r="78">
      <c r="A78" s="21" t="n"/>
      <c r="D78" s="19">
        <f>IF($C78="","",$C78*$B$1)</f>
        <v/>
      </c>
    </row>
    <row r="79">
      <c r="A79" s="21" t="n"/>
      <c r="D79" s="19">
        <f>IF($C79="","",$C79*$B$1)</f>
        <v/>
      </c>
    </row>
    <row r="80">
      <c r="A80" s="21" t="n"/>
      <c r="D80" s="19">
        <f>IF($C80="","",$C80*$B$1)</f>
        <v/>
      </c>
    </row>
    <row r="81">
      <c r="A81" s="21" t="n"/>
      <c r="D81" s="19">
        <f>IF($C81="","",$C81*$B$1)</f>
        <v/>
      </c>
    </row>
    <row r="82">
      <c r="A82" s="21" t="n"/>
      <c r="D82" s="19">
        <f>IF($C82="","",$C82*$B$1)</f>
        <v/>
      </c>
    </row>
    <row r="83">
      <c r="A83" s="21" t="n"/>
      <c r="D83" s="19">
        <f>IF($C83="","",$C83*$B$1)</f>
        <v/>
      </c>
    </row>
    <row r="84">
      <c r="A84" s="21" t="n"/>
      <c r="D84" s="19">
        <f>IF($C84="","",$C84*$B$1)</f>
        <v/>
      </c>
    </row>
    <row r="85">
      <c r="A85" s="21" t="n"/>
      <c r="D85" s="19">
        <f>IF($C85="","",$C85*$B$1)</f>
        <v/>
      </c>
    </row>
    <row r="86">
      <c r="A86" s="21" t="n"/>
      <c r="D86" s="19">
        <f>IF($C86="","",$C86*$B$1)</f>
        <v/>
      </c>
    </row>
    <row r="87">
      <c r="A87" s="21" t="n"/>
      <c r="D87" s="19">
        <f>IF($C87="","",$C87*$B$1)</f>
        <v/>
      </c>
    </row>
    <row r="88">
      <c r="A88" s="21" t="n"/>
      <c r="D88" s="19">
        <f>IF($C88="","",$C88*$B$1)</f>
        <v/>
      </c>
    </row>
    <row r="89">
      <c r="A89" s="21" t="n"/>
      <c r="D89" s="19">
        <f>IF($C89="","",$C89*$B$1)</f>
        <v/>
      </c>
    </row>
    <row r="90">
      <c r="A90" s="21" t="n"/>
      <c r="D90" s="19">
        <f>IF($C90="","",$C90*$B$1)</f>
        <v/>
      </c>
    </row>
    <row r="91">
      <c r="A91" s="21" t="n"/>
      <c r="D91" s="19">
        <f>IF($C91="","",$C91*$B$1)</f>
        <v/>
      </c>
    </row>
    <row r="92">
      <c r="A92" s="21" t="n"/>
      <c r="D92" s="19">
        <f>IF($C92="","",$C92*$B$1)</f>
        <v/>
      </c>
    </row>
    <row r="93">
      <c r="A93" s="21" t="n"/>
      <c r="D93" s="19">
        <f>IF($C93="","",$C93*$B$1)</f>
        <v/>
      </c>
    </row>
    <row r="94">
      <c r="A94" s="21" t="n"/>
      <c r="D94" s="19">
        <f>IF($C94="","",$C94*$B$1)</f>
        <v/>
      </c>
    </row>
    <row r="95">
      <c r="A95" s="21" t="n"/>
      <c r="D95" s="19">
        <f>IF($C95="","",$C95*$B$1)</f>
        <v/>
      </c>
    </row>
    <row r="96">
      <c r="A96" s="21" t="n"/>
      <c r="D96" s="19">
        <f>IF($C96="","",$C96*$B$1)</f>
        <v/>
      </c>
    </row>
    <row r="97">
      <c r="A97" s="21" t="n"/>
      <c r="D97" s="19">
        <f>IF($C97="","",$C97*$B$1)</f>
        <v/>
      </c>
    </row>
    <row r="98">
      <c r="A98" s="21" t="n"/>
      <c r="D98" s="19">
        <f>IF($C98="","",$C98*$B$1)</f>
        <v/>
      </c>
    </row>
    <row r="99">
      <c r="A99" s="21" t="n"/>
      <c r="D99" s="19">
        <f>IF($C99="","",$C99*$B$1)</f>
        <v/>
      </c>
    </row>
    <row r="100">
      <c r="A100" s="21" t="n"/>
      <c r="D100" s="19">
        <f>IF($C100="","",$C100*$B$1)</f>
        <v/>
      </c>
    </row>
    <row r="101">
      <c r="A101" s="21" t="n"/>
      <c r="D101" s="19">
        <f>IF($C101="","",$C101*$B$1)</f>
        <v/>
      </c>
    </row>
    <row r="102">
      <c r="A102" s="21" t="n"/>
      <c r="D102" s="19">
        <f>IF($C102="","",$C102*$B$1)</f>
        <v/>
      </c>
    </row>
    <row r="103">
      <c r="A103" s="21" t="n"/>
      <c r="D103" s="19">
        <f>IF($C103="","",$C103*$B$1)</f>
        <v/>
      </c>
    </row>
    <row r="104">
      <c r="A104" s="21" t="n"/>
      <c r="D104" s="19">
        <f>IF($C104="","",$C104*$B$1)</f>
        <v/>
      </c>
    </row>
    <row r="105">
      <c r="A105" s="21" t="n"/>
      <c r="D105" s="19">
        <f>IF($C105="","",$C105*$B$1)</f>
        <v/>
      </c>
    </row>
    <row r="106">
      <c r="A106" s="21" t="n"/>
      <c r="D106" s="19">
        <f>IF($C106="","",$C106*$B$1)</f>
        <v/>
      </c>
    </row>
    <row r="107">
      <c r="A107" s="21" t="n"/>
      <c r="D107" s="19">
        <f>IF($C107="","",$C107*$B$1)</f>
        <v/>
      </c>
    </row>
    <row r="108">
      <c r="A108" s="21" t="n"/>
      <c r="D108" s="19">
        <f>IF($C108="","",$C108*$B$1)</f>
        <v/>
      </c>
    </row>
    <row r="109">
      <c r="A109" s="21" t="n"/>
      <c r="D109" s="19">
        <f>IF($C109="","",$C109*$B$1)</f>
        <v/>
      </c>
    </row>
    <row r="110">
      <c r="A110" s="21" t="n"/>
      <c r="D110" s="19">
        <f>IF($C110="","",$C110*$B$1)</f>
        <v/>
      </c>
    </row>
    <row r="111">
      <c r="A111" s="21" t="n"/>
      <c r="D111" s="19">
        <f>IF($C111="","",$C111*$B$1)</f>
        <v/>
      </c>
    </row>
    <row r="112">
      <c r="A112" s="21" t="n"/>
      <c r="D112" s="19">
        <f>IF($C112="","",$C112*$B$1)</f>
        <v/>
      </c>
    </row>
    <row r="113">
      <c r="A113" s="21" t="n"/>
      <c r="D113" s="19">
        <f>IF($C113="","",$C113*$B$1)</f>
        <v/>
      </c>
    </row>
    <row r="114">
      <c r="A114" s="21" t="n"/>
      <c r="D114" s="19">
        <f>IF($C114="","",$C114*$B$1)</f>
        <v/>
      </c>
    </row>
    <row r="115">
      <c r="A115" s="21" t="n"/>
      <c r="D115" s="19">
        <f>IF($C115="","",$C115*$B$1)</f>
        <v/>
      </c>
    </row>
    <row r="116">
      <c r="A116" s="21" t="n"/>
      <c r="D116" s="19">
        <f>IF($C116="","",$C116*$B$1)</f>
        <v/>
      </c>
    </row>
    <row r="117">
      <c r="A117" s="21" t="n"/>
      <c r="D117" s="19">
        <f>IF($C117="","",$C117*$B$1)</f>
        <v/>
      </c>
    </row>
    <row r="118">
      <c r="A118" s="21" t="n"/>
      <c r="D118" s="19">
        <f>IF($C118="","",$C118*$B$1)</f>
        <v/>
      </c>
    </row>
    <row r="119">
      <c r="A119" s="21" t="n"/>
      <c r="D119" s="19">
        <f>IF($C119="","",$C119*$B$1)</f>
        <v/>
      </c>
    </row>
    <row r="120">
      <c r="A120" s="21" t="n"/>
      <c r="D120" s="19">
        <f>IF($C120="","",$C120*$B$1)</f>
        <v/>
      </c>
    </row>
    <row r="121">
      <c r="A121" s="21" t="n"/>
      <c r="D121" s="19">
        <f>IF($C121="","",$C121*$B$1)</f>
        <v/>
      </c>
    </row>
    <row r="122">
      <c r="A122" s="21" t="n"/>
      <c r="D122" s="19">
        <f>IF($C122="","",$C122*$B$1)</f>
        <v/>
      </c>
    </row>
    <row r="123">
      <c r="A123" s="21" t="n"/>
      <c r="D123" s="19">
        <f>IF($C123="","",$C123*$B$1)</f>
        <v/>
      </c>
    </row>
    <row r="124">
      <c r="A124" s="21" t="n"/>
      <c r="D124" s="19">
        <f>IF($C124="","",$C124*$B$1)</f>
        <v/>
      </c>
    </row>
    <row r="125">
      <c r="A125" s="21" t="n"/>
      <c r="D125" s="19">
        <f>IF($C125="","",$C125*$B$1)</f>
        <v/>
      </c>
    </row>
    <row r="126">
      <c r="A126" s="21" t="n"/>
      <c r="D126" s="19">
        <f>IF($C126="","",$C126*$B$1)</f>
        <v/>
      </c>
    </row>
    <row r="127">
      <c r="A127" s="21" t="n"/>
      <c r="D127" s="19">
        <f>IF($C127="","",$C127*$B$1)</f>
        <v/>
      </c>
    </row>
    <row r="128">
      <c r="A128" s="21" t="n"/>
      <c r="D128" s="19">
        <f>IF($C128="","",$C128*$B$1)</f>
        <v/>
      </c>
    </row>
    <row r="129">
      <c r="A129" s="21" t="n"/>
      <c r="D129" s="19">
        <f>IF($C129="","",$C129*$B$1)</f>
        <v/>
      </c>
    </row>
    <row r="130">
      <c r="A130" s="21" t="n"/>
      <c r="D130" s="19">
        <f>IF($C130="","",$C130*$B$1)</f>
        <v/>
      </c>
    </row>
    <row r="131">
      <c r="A131" s="21" t="n"/>
      <c r="D131" s="19">
        <f>IF($C131="","",$C131*$B$1)</f>
        <v/>
      </c>
    </row>
    <row r="132">
      <c r="A132" s="21" t="n"/>
      <c r="D132" s="19">
        <f>IF($C132="","",$C132*$B$1)</f>
        <v/>
      </c>
    </row>
    <row r="133">
      <c r="A133" s="21" t="n"/>
      <c r="D133" s="19">
        <f>IF($C133="","",$C133*$B$1)</f>
        <v/>
      </c>
    </row>
    <row r="134">
      <c r="A134" s="21" t="n"/>
      <c r="D134" s="19">
        <f>IF($C134="","",$C134*$B$1)</f>
        <v/>
      </c>
    </row>
    <row r="135">
      <c r="A135" s="21" t="n"/>
      <c r="D135" s="19">
        <f>IF($C135="","",$C135*$B$1)</f>
        <v/>
      </c>
    </row>
    <row r="136">
      <c r="A136" s="21" t="n"/>
      <c r="D136" s="19">
        <f>IF($C136="","",$C136*$B$1)</f>
        <v/>
      </c>
    </row>
    <row r="137">
      <c r="A137" s="21" t="n"/>
      <c r="D137" s="19">
        <f>IF($C137="","",$C137*$B$1)</f>
        <v/>
      </c>
    </row>
    <row r="138">
      <c r="A138" s="21" t="n"/>
      <c r="D138" s="19">
        <f>IF($C138="","",$C138*$B$1)</f>
        <v/>
      </c>
    </row>
    <row r="139">
      <c r="A139" s="21" t="n"/>
      <c r="D139" s="19">
        <f>IF($C139="","",$C139*$B$1)</f>
        <v/>
      </c>
    </row>
    <row r="140">
      <c r="A140" s="21" t="n"/>
      <c r="D140" s="19">
        <f>IF($C140="","",$C140*$B$1)</f>
        <v/>
      </c>
    </row>
    <row r="141">
      <c r="A141" s="21" t="n"/>
      <c r="D141" s="19">
        <f>IF($C141="","",$C141*$B$1)</f>
        <v/>
      </c>
    </row>
    <row r="142">
      <c r="A142" s="21" t="n"/>
      <c r="D142" s="19">
        <f>IF($C142="","",$C142*$B$1)</f>
        <v/>
      </c>
    </row>
    <row r="143">
      <c r="A143" s="21" t="n"/>
      <c r="D143" s="19">
        <f>IF($C143="","",$C143*$B$1)</f>
        <v/>
      </c>
    </row>
    <row r="144">
      <c r="A144" s="21" t="n"/>
      <c r="D144" s="19">
        <f>IF($C144="","",$C144*$B$1)</f>
        <v/>
      </c>
    </row>
    <row r="145">
      <c r="A145" s="21" t="n"/>
      <c r="D145" s="19">
        <f>IF($C145="","",$C145*$B$1)</f>
        <v/>
      </c>
    </row>
    <row r="146">
      <c r="A146" s="21" t="n"/>
      <c r="D146" s="19">
        <f>IF($C146="","",$C146*$B$1)</f>
        <v/>
      </c>
    </row>
    <row r="147">
      <c r="A147" s="21" t="n"/>
      <c r="D147" s="19">
        <f>IF($C147="","",$C147*$B$1)</f>
        <v/>
      </c>
    </row>
    <row r="148">
      <c r="A148" s="21" t="n"/>
      <c r="D148" s="19">
        <f>IF($C148="","",$C148*$B$1)</f>
        <v/>
      </c>
    </row>
    <row r="149">
      <c r="A149" s="21" t="n"/>
      <c r="D149" s="19">
        <f>IF($C149="","",$C149*$B$1)</f>
        <v/>
      </c>
    </row>
    <row r="150">
      <c r="A150" s="21" t="n"/>
      <c r="D150" s="19">
        <f>IF($C150="","",$C150*$B$1)</f>
        <v/>
      </c>
    </row>
    <row r="151">
      <c r="A151" s="21" t="n"/>
      <c r="D151" s="19">
        <f>IF($C151="","",$C151*$B$1)</f>
        <v/>
      </c>
    </row>
    <row r="152">
      <c r="A152" s="21" t="n"/>
      <c r="D152" s="19">
        <f>IF($C152="","",$C152*$B$1)</f>
        <v/>
      </c>
    </row>
    <row r="153">
      <c r="A153" s="21" t="n"/>
      <c r="D153" s="19">
        <f>IF($C153="","",$C153*$B$1)</f>
        <v/>
      </c>
    </row>
    <row r="154">
      <c r="A154" s="21" t="n"/>
      <c r="D154" s="19">
        <f>IF($C154="","",$C154*$B$1)</f>
        <v/>
      </c>
    </row>
    <row r="155">
      <c r="A155" s="21" t="n"/>
      <c r="D155" s="19">
        <f>IF($C155="","",$C155*$B$1)</f>
        <v/>
      </c>
    </row>
    <row r="156">
      <c r="A156" s="21" t="n"/>
      <c r="D156" s="19">
        <f>IF($C156="","",$C156*$B$1)</f>
        <v/>
      </c>
    </row>
    <row r="157">
      <c r="A157" s="21" t="n"/>
      <c r="D157" s="19">
        <f>IF($C157="","",$C157*$B$1)</f>
        <v/>
      </c>
    </row>
    <row r="158">
      <c r="A158" s="21" t="n"/>
      <c r="D158" s="19">
        <f>IF($C158="","",$C158*$B$1)</f>
        <v/>
      </c>
    </row>
    <row r="159">
      <c r="A159" s="21" t="n"/>
      <c r="D159" s="19">
        <f>IF($C159="","",$C159*$B$1)</f>
        <v/>
      </c>
    </row>
    <row r="160">
      <c r="A160" s="21" t="n"/>
      <c r="D160" s="19">
        <f>IF($C160="","",$C160*$B$1)</f>
        <v/>
      </c>
    </row>
    <row r="161">
      <c r="A161" s="21" t="n"/>
      <c r="D161" s="19">
        <f>IF($C161="","",$C161*$B$1)</f>
        <v/>
      </c>
    </row>
    <row r="162">
      <c r="A162" s="21" t="n"/>
      <c r="D162" s="19">
        <f>IF($C162="","",$C162*$B$1)</f>
        <v/>
      </c>
    </row>
    <row r="163">
      <c r="A163" s="21" t="n"/>
      <c r="D163" s="19">
        <f>IF($C163="","",$C163*$B$1)</f>
        <v/>
      </c>
    </row>
    <row r="164">
      <c r="A164" s="21" t="n"/>
      <c r="D164" s="19">
        <f>IF($C164="","",$C164*$B$1)</f>
        <v/>
      </c>
    </row>
    <row r="165">
      <c r="A165" s="21" t="n"/>
      <c r="D165" s="19">
        <f>IF($C165="","",$C165*$B$1)</f>
        <v/>
      </c>
    </row>
    <row r="166">
      <c r="A166" s="21" t="n"/>
      <c r="D166" s="19">
        <f>IF($C166="","",$C166*$B$1)</f>
        <v/>
      </c>
    </row>
    <row r="167">
      <c r="A167" s="21" t="n"/>
      <c r="D167" s="19">
        <f>IF($C167="","",$C167*$B$1)</f>
        <v/>
      </c>
    </row>
    <row r="168">
      <c r="A168" s="21" t="n"/>
      <c r="D168" s="19">
        <f>IF($C168="","",$C168*$B$1)</f>
        <v/>
      </c>
    </row>
    <row r="169">
      <c r="A169" s="21" t="n"/>
      <c r="D169" s="19">
        <f>IF($C169="","",$C169*$B$1)</f>
        <v/>
      </c>
    </row>
    <row r="170">
      <c r="A170" s="21" t="n"/>
      <c r="D170" s="19">
        <f>IF($C170="","",$C170*$B$1)</f>
        <v/>
      </c>
    </row>
    <row r="171">
      <c r="A171" s="21" t="n"/>
      <c r="D171" s="19">
        <f>IF($C171="","",$C171*$B$1)</f>
        <v/>
      </c>
    </row>
    <row r="172">
      <c r="A172" s="21" t="n"/>
      <c r="D172" s="19">
        <f>IF($C172="","",$C172*$B$1)</f>
        <v/>
      </c>
    </row>
    <row r="173">
      <c r="A173" s="21" t="n"/>
      <c r="D173" s="19">
        <f>IF($C173="","",$C173*$B$1)</f>
        <v/>
      </c>
    </row>
    <row r="174">
      <c r="A174" s="21" t="n"/>
      <c r="D174" s="19">
        <f>IF($C174="","",$C174*$B$1)</f>
        <v/>
      </c>
    </row>
    <row r="175">
      <c r="A175" s="21" t="n"/>
      <c r="D175" s="19">
        <f>IF($C175="","",$C175*$B$1)</f>
        <v/>
      </c>
    </row>
    <row r="176">
      <c r="A176" s="21" t="n"/>
      <c r="D176" s="19">
        <f>IF($C176="","",$C176*$B$1)</f>
        <v/>
      </c>
    </row>
    <row r="177">
      <c r="A177" s="21" t="n"/>
      <c r="D177" s="19">
        <f>IF($C177="","",$C177*$B$1)</f>
        <v/>
      </c>
    </row>
    <row r="178">
      <c r="A178" s="21" t="n"/>
      <c r="D178" s="19">
        <f>IF($C178="","",$C178*$B$1)</f>
        <v/>
      </c>
    </row>
    <row r="179">
      <c r="A179" s="21" t="n"/>
      <c r="D179" s="19">
        <f>IF($C179="","",$C179*$B$1)</f>
        <v/>
      </c>
    </row>
    <row r="180">
      <c r="A180" s="21" t="n"/>
      <c r="D180" s="19">
        <f>IF($C180="","",$C180*$B$1)</f>
        <v/>
      </c>
    </row>
    <row r="181">
      <c r="A181" s="21" t="n"/>
      <c r="D181" s="19">
        <f>IF($C181="","",$C181*$B$1)</f>
        <v/>
      </c>
    </row>
    <row r="182">
      <c r="A182" s="21" t="n"/>
      <c r="D182" s="19">
        <f>IF($C182="","",$C182*$B$1)</f>
        <v/>
      </c>
    </row>
    <row r="183">
      <c r="A183" s="21" t="n"/>
      <c r="D183" s="19">
        <f>IF($C183="","",$C183*$B$1)</f>
        <v/>
      </c>
    </row>
    <row r="184">
      <c r="A184" s="21" t="n"/>
      <c r="D184" s="19">
        <f>IF($C184="","",$C184*$B$1)</f>
        <v/>
      </c>
    </row>
    <row r="185">
      <c r="A185" s="21" t="n"/>
      <c r="D185" s="19">
        <f>IF($C185="","",$C185*$B$1)</f>
        <v/>
      </c>
    </row>
    <row r="186">
      <c r="A186" s="21" t="n"/>
      <c r="D186" s="19">
        <f>IF($C186="","",$C186*$B$1)</f>
        <v/>
      </c>
    </row>
    <row r="187">
      <c r="A187" s="21" t="n"/>
      <c r="D187" s="19">
        <f>IF($C187="","",$C187*$B$1)</f>
        <v/>
      </c>
    </row>
    <row r="188">
      <c r="A188" s="21" t="n"/>
      <c r="D188" s="19">
        <f>IF($C188="","",$C188*$B$1)</f>
        <v/>
      </c>
    </row>
    <row r="189">
      <c r="A189" s="21" t="n"/>
      <c r="D189" s="19">
        <f>IF($C189="","",$C189*$B$1)</f>
        <v/>
      </c>
    </row>
    <row r="190">
      <c r="A190" s="21" t="n"/>
      <c r="D190" s="19">
        <f>IF($C190="","",$C190*$B$1)</f>
        <v/>
      </c>
    </row>
    <row r="191">
      <c r="A191" s="21" t="n"/>
      <c r="D191" s="19">
        <f>IF($C191="","",$C191*$B$1)</f>
        <v/>
      </c>
    </row>
    <row r="192">
      <c r="A192" s="21" t="n"/>
      <c r="D192" s="19">
        <f>IF($C192="","",$C192*$B$1)</f>
        <v/>
      </c>
    </row>
    <row r="193">
      <c r="A193" s="21" t="n"/>
      <c r="D193" s="19">
        <f>IF($C193="","",$C193*$B$1)</f>
        <v/>
      </c>
    </row>
    <row r="194">
      <c r="A194" s="21" t="n"/>
      <c r="D194" s="19">
        <f>IF($C194="","",$C194*$B$1)</f>
        <v/>
      </c>
    </row>
    <row r="195">
      <c r="A195" s="21" t="n"/>
      <c r="D195" s="19">
        <f>IF($C195="","",$C195*$B$1)</f>
        <v/>
      </c>
    </row>
    <row r="196">
      <c r="A196" s="21" t="n"/>
      <c r="D196" s="19">
        <f>IF($C196="","",$C196*$B$1)</f>
        <v/>
      </c>
    </row>
    <row r="197">
      <c r="A197" s="21" t="n"/>
      <c r="D197" s="19">
        <f>IF($C197="","",$C197*$B$1)</f>
        <v/>
      </c>
    </row>
    <row r="198">
      <c r="A198" s="21" t="n"/>
      <c r="D198" s="19">
        <f>IF($C198="","",$C198*$B$1)</f>
        <v/>
      </c>
    </row>
    <row r="199">
      <c r="A199" s="21" t="n"/>
      <c r="D199" s="19">
        <f>IF($C199="","",$C199*$B$1)</f>
        <v/>
      </c>
    </row>
    <row r="200">
      <c r="A200" s="21" t="n"/>
      <c r="D200" s="19">
        <f>IF($C200="","",$C200*$B$1)</f>
        <v/>
      </c>
    </row>
    <row r="201">
      <c r="A201" s="21" t="n"/>
      <c r="D201" s="19">
        <f>IF($C201="","",$C201*$B$1)</f>
        <v/>
      </c>
    </row>
    <row r="202">
      <c r="A202" s="21" t="n"/>
      <c r="D202" s="19">
        <f>IF($C202="","",$C202*$B$1)</f>
        <v/>
      </c>
    </row>
    <row r="203">
      <c r="A203" s="21" t="n"/>
      <c r="D203" s="19">
        <f>IF($C203="","",$C203*$B$1)</f>
        <v/>
      </c>
    </row>
    <row r="205">
      <c r="A205" s="11" t="inlineStr">
        <is>
          <t>La plata de NZ no viaja. Se queda en la cuenta de Sofía y entra al total como equivalente.</t>
        </is>
      </c>
    </row>
  </sheetData>
  <dataValidations count="1">
    <dataValidation sqref="E4:E203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6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4" customWidth="1" min="3" max="3"/>
  </cols>
  <sheetData>
    <row r="1">
      <c r="A1" s="26" t="inlineStr">
        <is>
          <t>MEGA RIFA FUSA — resumen</t>
        </is>
      </c>
    </row>
    <row r="3">
      <c r="A3" s="27" t="inlineStr">
        <is>
          <t>Pagados</t>
        </is>
      </c>
      <c r="B3" s="28">
        <f>COUNTIF(NUMEROS!$G:$G,"PAGADO")</f>
        <v/>
      </c>
      <c r="C3" s="24" t="inlineStr">
        <is>
          <t>Números con la plata ya verificada</t>
        </is>
      </c>
    </row>
    <row r="4">
      <c r="A4" s="27" t="inlineStr">
        <is>
          <t>Apartados vivos</t>
        </is>
      </c>
      <c r="B4" s="28">
        <f>COUNTIF(NUMEROS!$G:$G,"APARTADO")</f>
        <v/>
      </c>
      <c r="C4" s="24" t="inlineStr">
        <is>
          <t>Apartados que todavía no cumplen 24 h</t>
        </is>
      </c>
    </row>
    <row r="5">
      <c r="A5" s="27" t="inlineStr">
        <is>
          <t>Libres</t>
        </is>
      </c>
      <c r="B5" s="28">
        <f>1000-$B$3-$B$4</f>
        <v/>
      </c>
      <c r="C5" s="24" t="inlineStr">
        <is>
          <t>Lo que de verdad queda</t>
        </is>
      </c>
    </row>
    <row r="6">
      <c r="A6" s="27" t="inlineStr">
        <is>
          <t>Vencidos por recuperar</t>
        </is>
      </c>
      <c r="B6" s="28">
        <f>COUNTIFS(NUMEROS!$B:$B,"APARTADO",NUMEROS!$G:$G,"LIBRE")</f>
        <v/>
      </c>
      <c r="C6" s="24" t="inlineStr">
        <is>
          <t>Se cayeron solos: hay que volver a ofrecerlos hoy</t>
        </is>
      </c>
    </row>
    <row r="7">
      <c r="A7" s="27" t="inlineStr">
        <is>
          <t>Plata recibida (COP)</t>
        </is>
      </c>
      <c r="B7" s="29">
        <f>SUM(PAGOS!$F:$F)</f>
        <v/>
      </c>
      <c r="C7" s="24" t="inlineStr">
        <is>
          <t>Todo lo que entró, con NZ convertido</t>
        </is>
      </c>
    </row>
    <row r="8">
      <c r="A8" s="27" t="inlineStr">
        <is>
          <t>Gastos ya pagados</t>
        </is>
      </c>
      <c r="B8" s="29">
        <f>SUMIF(GASTOS!$E:$E,"SI",GASTOS!$C:$C)</f>
        <v/>
      </c>
      <c r="C8" s="24" t="inlineStr">
        <is>
          <t>Solo los que dicen PAGADO = SI</t>
        </is>
      </c>
    </row>
    <row r="9">
      <c r="A9" s="27" t="inlineStr">
        <is>
          <t>Comisión de tiendas</t>
        </is>
      </c>
      <c r="B9" s="29">
        <f>SUM(VENDEDORES!$H:$H)</f>
        <v/>
      </c>
      <c r="C9" s="24" t="inlineStr">
        <is>
          <t>10% = COP 600 por número de tienda</t>
        </is>
      </c>
    </row>
    <row r="10">
      <c r="A10" s="30" t="inlineStr">
        <is>
          <t>NETO PROYECTADO</t>
        </is>
      </c>
      <c r="B10" s="31">
        <f>$B$7-2000000-100000-50000-$B$9</f>
        <v/>
      </c>
      <c r="C10" s="24" t="inlineStr">
        <is>
          <t>Lo que queda después del premio y los costos fijos</t>
        </is>
      </c>
    </row>
    <row r="11">
      <c r="A11" s="27" t="inlineStr">
        <is>
          <t>Faltan para el piso (3M)</t>
        </is>
      </c>
      <c r="B11" s="29">
        <f>MAX(0,3000000-$B$10)</f>
        <v/>
      </c>
      <c r="C11" s="24" t="inlineStr">
        <is>
          <t>Si llega a 0, la moto está asegurada</t>
        </is>
      </c>
    </row>
    <row r="12">
      <c r="A12" s="27" t="inlineStr">
        <is>
          <t>Días para el sorteo</t>
        </is>
      </c>
      <c r="B12" s="28">
        <f>MAX(0,DATE(2026,12,5)-TODAY())</f>
        <v/>
      </c>
      <c r="C12" s="24" t="inlineStr">
        <is>
          <t>Hasta el sáb 5 de diciembre</t>
        </is>
      </c>
    </row>
    <row r="13">
      <c r="A13" s="30" t="inlineStr">
        <is>
          <t>RITMO NECESARIO POR DÍA</t>
        </is>
      </c>
      <c r="B13" s="32">
        <f>IF($B$12&gt;0,ROUNDUP((860-$B$3)/$B$12,0),0)</f>
        <v/>
      </c>
      <c r="C13" s="24" t="inlineStr">
        <is>
          <t>Si pasa de 30, la campaña va atrasada</t>
        </is>
      </c>
    </row>
    <row r="15">
      <c r="A15" s="11" t="inlineStr">
        <is>
          <t>El número que importa es el RITMO NECESARIO POR DÍA. Se mira cada domingo en el punto de control.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AA0A6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3" t="inlineStr">
        <is>
          <t>MEGA RIFA FUSA — cómo se usa este archivo</t>
        </is>
      </c>
    </row>
    <row r="2">
      <c r="A2" s="34" t="inlineStr"/>
    </row>
    <row r="3">
      <c r="A3" s="35" t="inlineStr">
        <is>
          <t>Solo escribes en DOS momentos:</t>
        </is>
      </c>
    </row>
    <row r="4">
      <c r="A4" s="34" t="inlineStr">
        <is>
          <t>1. Alguien aparta un número  -&gt;  en NUMEROS, columna B, pones APARTADO. La hora se pone sola.</t>
        </is>
      </c>
    </row>
    <row r="5">
      <c r="A5" s="34" t="inlineStr">
        <is>
          <t>2. Llega la plata y la ves en la app  -&gt;  en COMPRADORES llenas UNA fila:</t>
        </is>
      </c>
    </row>
    <row r="6">
      <c r="A6" s="34" t="inlineStr">
        <is>
          <t xml:space="preserve">     número, nombre completo, teléfono, SALE_PUBLICO (SI/NO) y QUIERE_TBW (SI/NO).</t>
        </is>
      </c>
    </row>
    <row r="7">
      <c r="A7" s="34" t="inlineStr">
        <is>
          <t xml:space="preserve">     Al llenar esa fila, el número queda PAGADO solo, con su nombre acortado y su serial.</t>
        </is>
      </c>
    </row>
    <row r="8">
      <c r="A8" s="34" t="inlineStr"/>
    </row>
    <row r="9">
      <c r="A9" s="34" t="inlineStr">
        <is>
          <t>Y anotas la plata en PAGOS (una fila por pago que entró).</t>
        </is>
      </c>
    </row>
    <row r="10">
      <c r="A10" s="34" t="inlineStr"/>
    </row>
    <row r="11">
      <c r="A11" s="35" t="inlineStr">
        <is>
          <t>Lo demás se calcula solo. Las columnas grises son fórmulas: NO se tocan.</t>
        </is>
      </c>
    </row>
    <row r="12">
      <c r="A12" s="34" t="inlineStr">
        <is>
          <t>La columna E de NUMEROS es la trampa: parece normal pero es fórmula y es la única pública.</t>
        </is>
      </c>
    </row>
    <row r="13">
      <c r="A13" s="34" t="inlineStr">
        <is>
          <t>Si escribes un nombre ahí, ese nombre completo queda publicado en la web.</t>
        </is>
      </c>
    </row>
    <row r="14">
      <c r="A14" s="34" t="inlineStr"/>
    </row>
    <row r="15">
      <c r="A15" s="34" t="inlineStr">
        <is>
          <t>Pestañas verdes = aquí se escribe (NUMEROS, COMPRADORES, PAGOS, VENDEDORES, GASTOS, NZ).</t>
        </is>
      </c>
    </row>
    <row r="16">
      <c r="A16" s="34" t="inlineStr">
        <is>
          <t>Pestañas grises = solo se miran (HOY, RESUMEN, LEEME).</t>
        </is>
      </c>
    </row>
    <row r="17">
      <c r="A17" s="34" t="inlineStr">
        <is>
          <t>Cada mañana mira la pestaña HOY. Cada domingo, la pestaña RESUMEN.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2026-10-10T05:09:38Z</dcterms:created>
  <dcterms:modified xmlns:dcterms="http://purl.org/dc/terms/" xmlns:xsi="http://www.w3.org/2001/XMLSchema-instance" xsi:type="dcterms:W3CDTF">2026-10-10T05:09:38Z</dcterms:modified>
</cp:coreProperties>
</file>